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izunj/Documents/Masters_2024/ASU/Student_Docs/RESEARCH/GR-Evolve/GR-Evolve/ADDITIONAL_DATA/"/>
    </mc:Choice>
  </mc:AlternateContent>
  <xr:revisionPtr revIDLastSave="0" documentId="13_ncr:1_{44B16685-FEF0-9848-AE33-7C679B7F8C47}" xr6:coauthVersionLast="47" xr6:coauthVersionMax="47" xr10:uidLastSave="{00000000-0000-0000-0000-000000000000}"/>
  <bookViews>
    <workbookView xWindow="0" yWindow="700" windowWidth="34200" windowHeight="19760" xr2:uid="{06CFDD16-4520-5E4B-82C8-5F618AF4C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1" i="1"/>
  <c r="M31" i="1"/>
  <c r="L31" i="1"/>
  <c r="N30" i="1"/>
  <c r="M30" i="1"/>
  <c r="L30" i="1"/>
  <c r="N29" i="1"/>
  <c r="M29" i="1"/>
  <c r="L29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M11" i="1"/>
  <c r="M10" i="1"/>
  <c r="M9" i="1"/>
  <c r="M8" i="1"/>
  <c r="M7" i="1"/>
  <c r="M6" i="1"/>
  <c r="M5" i="1"/>
  <c r="M4" i="1"/>
  <c r="M3" i="1"/>
  <c r="N11" i="1"/>
  <c r="N10" i="1"/>
  <c r="N9" i="1"/>
  <c r="N8" i="1"/>
  <c r="N7" i="1"/>
  <c r="N6" i="1"/>
  <c r="N5" i="1"/>
  <c r="N4" i="1"/>
  <c r="N3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<sst xmlns="http://schemas.openxmlformats.org/spreadsheetml/2006/main" count="83" uniqueCount="25">
  <si>
    <t>ispd_test1</t>
  </si>
  <si>
    <t>ispd_test2</t>
  </si>
  <si>
    <t>ispd_test4</t>
  </si>
  <si>
    <t>ispd_test3</t>
  </si>
  <si>
    <t>ispd_test6</t>
  </si>
  <si>
    <t>ispd_test7</t>
  </si>
  <si>
    <t>ispd_test8</t>
  </si>
  <si>
    <t>ispd_test9</t>
  </si>
  <si>
    <t>ispd_test10</t>
  </si>
  <si>
    <t>WL</t>
  </si>
  <si>
    <t>VC</t>
  </si>
  <si>
    <t>TO</t>
  </si>
  <si>
    <t>MO</t>
  </si>
  <si>
    <t>RT</t>
  </si>
  <si>
    <t>FR_SWERV_ASAP7</t>
  </si>
  <si>
    <t>CUGR_SWERV_ASAP7</t>
  </si>
  <si>
    <t>SPR_SWERV_ASAP7</t>
  </si>
  <si>
    <t>RT(ms)</t>
  </si>
  <si>
    <t>FR</t>
  </si>
  <si>
    <t>CUGR</t>
  </si>
  <si>
    <t>-</t>
  </si>
  <si>
    <t>Improvement</t>
  </si>
  <si>
    <t>WL (%)</t>
  </si>
  <si>
    <t>VC (%)</t>
  </si>
  <si>
    <t>RT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</si>
</sst>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3" x14ac:knownFonts="1">
    <font>
      <sz val="12"/>
      <color theme="1"/>
      <name val="Aptos Narrow"/>
      <family val="2"/>
      <scheme val="minor"/>
    </font>
    <font>
      <sz val="14"/>
      <color theme="1"/>
      <name val="JetBrains Mono Light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10" xfId="0" applyBorder="1"/>
    <xf numFmtId="0" fontId="0" fillId="0" borderId="13" xfId="0" applyBorder="1"/>
    <xf numFmtId="0" fontId="0" fillId="0" borderId="14" xfId="0" applyBorder="1"/>
    <xf numFmtId="0" fontId="0" fillId="0" borderId="1" xfId="0" applyBorder="1" applyAlignment="1">
      <alignment horizontal="center"/>
    </xf>
    <xf numFmtId="0" fontId="0" fillId="0" borderId="12" xfId="0" applyBorder="1"/>
    <xf numFmtId="0" fontId="1" fillId="0" borderId="0" xfId="0" applyFont="1" applyBorder="1"/>
    <xf numFmtId="0" fontId="1" fillId="0" borderId="7" xfId="0" applyFont="1" applyBorder="1"/>
    <xf numFmtId="0" fontId="0" fillId="0" borderId="10" xfId="0" applyBorder="1" applyAlignment="1">
      <alignment horizontal="center"/>
    </xf>
    <xf numFmtId="0" fontId="2" fillId="0" borderId="0" xfId="0" applyFont="1" applyBorder="1"/>
    <xf numFmtId="0" fontId="2" fillId="0" borderId="6" xfId="0" applyFont="1" applyBorder="1"/>
    <xf numFmtId="165" fontId="2" fillId="0" borderId="2" xfId="0" applyNumberFormat="1" applyFont="1" applyBorder="1"/>
    <xf numFmtId="165" fontId="2" fillId="0" borderId="3" xfId="0" applyNumberFormat="1" applyFont="1" applyBorder="1"/>
    <xf numFmtId="165" fontId="2" fillId="0" borderId="4" xfId="0" applyNumberFormat="1" applyFont="1" applyBorder="1"/>
    <xf numFmtId="0" fontId="2" fillId="0" borderId="5" xfId="0" applyFont="1" applyBorder="1"/>
    <xf numFmtId="165" fontId="2" fillId="0" borderId="5" xfId="0" applyNumberFormat="1" applyFont="1" applyBorder="1"/>
    <xf numFmtId="165" fontId="2" fillId="0" borderId="0" xfId="0" applyNumberFormat="1" applyFont="1"/>
    <xf numFmtId="165" fontId="2" fillId="0" borderId="6" xfId="0" applyNumberFormat="1" applyFont="1" applyBorder="1"/>
    <xf numFmtId="0" fontId="2" fillId="0" borderId="8" xfId="0" applyFont="1" applyBorder="1"/>
    <xf numFmtId="165" fontId="2" fillId="0" borderId="7" xfId="0" applyNumberFormat="1" applyFont="1" applyBorder="1"/>
    <xf numFmtId="165" fontId="2" fillId="0" borderId="8" xfId="0" applyNumberFormat="1" applyFont="1" applyBorder="1"/>
    <xf numFmtId="165" fontId="2" fillId="0" borderId="9" xfId="0" applyNumberFormat="1" applyFont="1" applyBorder="1"/>
    <xf numFmtId="0" fontId="1" fillId="0" borderId="5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165" fontId="2" fillId="0" borderId="3" xfId="0" applyNumberFormat="1" applyFont="1" applyBorder="1" applyAlignment="1">
      <alignment vertical="center"/>
    </xf>
    <xf numFmtId="165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165" fontId="2" fillId="0" borderId="5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5" fontId="2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5" fontId="2" fillId="0" borderId="7" xfId="0" applyNumberFormat="1" applyFont="1" applyBorder="1" applyAlignment="1">
      <alignment vertical="center"/>
    </xf>
    <xf numFmtId="165" fontId="2" fillId="0" borderId="8" xfId="0" applyNumberFormat="1" applyFont="1" applyBorder="1" applyAlignment="1">
      <alignment vertical="center"/>
    </xf>
    <xf numFmtId="165" fontId="2" fillId="0" borderId="9" xfId="0" applyNumberFormat="1" applyFont="1" applyBorder="1" applyAlignment="1">
      <alignment vertical="center"/>
    </xf>
    <xf numFmtId="0" fontId="2" fillId="0" borderId="3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6"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204EC-DD1D-FD4B-B79C-67F9EA171105}">
  <dimension ref="A1:N38"/>
  <sheetViews>
    <sheetView tabSelected="1" zoomScale="124" zoomScaleNormal="125" workbookViewId="0">
      <selection activeCell="H23" sqref="H23"/>
    </sheetView>
  </sheetViews>
  <sheetFormatPr baseColWidth="10" defaultRowHeight="16" x14ac:dyDescent="0.2"/>
  <cols>
    <col min="2" max="3" width="11" bestFit="1" customWidth="1"/>
    <col min="4" max="4" width="14.83203125" bestFit="1" customWidth="1"/>
    <col min="5" max="6" width="13.1640625" bestFit="1" customWidth="1"/>
    <col min="7" max="8" width="11" bestFit="1" customWidth="1"/>
    <col min="9" max="9" width="14.83203125" bestFit="1" customWidth="1"/>
    <col min="10" max="10" width="13.1640625" bestFit="1" customWidth="1"/>
    <col min="11" max="11" width="11.5" bestFit="1" customWidth="1"/>
    <col min="12" max="12" width="15.83203125" bestFit="1" customWidth="1"/>
    <col min="13" max="13" width="16.6640625" bestFit="1" customWidth="1"/>
    <col min="14" max="14" width="19.6640625" bestFit="1" customWidth="1"/>
  </cols>
  <sheetData>
    <row r="1" spans="1:14" x14ac:dyDescent="0.2">
      <c r="A1" s="6"/>
      <c r="B1" s="14" t="s">
        <v>14</v>
      </c>
      <c r="C1" s="14"/>
      <c r="D1" s="14"/>
      <c r="E1" s="14"/>
      <c r="F1" s="14"/>
      <c r="G1" s="14" t="s">
        <v>18</v>
      </c>
      <c r="H1" s="14"/>
      <c r="I1" s="14"/>
      <c r="J1" s="14"/>
      <c r="K1" s="14"/>
      <c r="L1" s="14" t="s">
        <v>21</v>
      </c>
      <c r="M1" s="14"/>
      <c r="N1" s="14"/>
    </row>
    <row r="2" spans="1:14" x14ac:dyDescent="0.2">
      <c r="A2" s="6"/>
      <c r="B2" s="6" t="s">
        <v>12</v>
      </c>
      <c r="C2" s="6" t="s">
        <v>11</v>
      </c>
      <c r="D2" s="6" t="s">
        <v>9</v>
      </c>
      <c r="E2" s="6" t="s">
        <v>10</v>
      </c>
      <c r="F2" s="6" t="s">
        <v>17</v>
      </c>
      <c r="G2" s="6" t="s">
        <v>12</v>
      </c>
      <c r="H2" s="6" t="s">
        <v>11</v>
      </c>
      <c r="I2" s="13" t="s">
        <v>9</v>
      </c>
      <c r="J2" s="6" t="s">
        <v>10</v>
      </c>
      <c r="K2" s="11" t="s">
        <v>17</v>
      </c>
      <c r="L2" s="6" t="s">
        <v>22</v>
      </c>
      <c r="M2" s="6" t="s">
        <v>23</v>
      </c>
      <c r="N2" s="6" t="s">
        <v>24</v>
      </c>
    </row>
    <row r="3" spans="1:14" ht="19" x14ac:dyDescent="0.2">
      <c r="A3" s="15" t="s">
        <v>0</v>
      </c>
      <c r="B3" s="32">
        <v>0</v>
      </c>
      <c r="C3" s="33">
        <v>0</v>
      </c>
      <c r="D3" s="34">
        <v>74714</v>
      </c>
      <c r="E3" s="34">
        <v>27690</v>
      </c>
      <c r="F3" s="35">
        <v>3971</v>
      </c>
      <c r="G3" s="36">
        <v>0</v>
      </c>
      <c r="H3" s="36">
        <v>0</v>
      </c>
      <c r="I3" s="36">
        <v>74714</v>
      </c>
      <c r="J3" s="37">
        <v>27690</v>
      </c>
      <c r="K3" s="36">
        <v>1890</v>
      </c>
      <c r="L3" s="38">
        <f>(I3-D3)/I3 * 100</f>
        <v>0</v>
      </c>
      <c r="M3" s="39">
        <f>(J3-E3)/J3 * 100</f>
        <v>0</v>
      </c>
      <c r="N3" s="40">
        <f>(K3-F3)/K3 * 100</f>
        <v>-110.1058201058201</v>
      </c>
    </row>
    <row r="4" spans="1:14" ht="19" x14ac:dyDescent="0.2">
      <c r="A4" s="15" t="s">
        <v>1</v>
      </c>
      <c r="B4" s="41">
        <v>3</v>
      </c>
      <c r="C4" s="33">
        <v>766</v>
      </c>
      <c r="D4" s="34">
        <v>2701408</v>
      </c>
      <c r="E4" s="34">
        <v>606367</v>
      </c>
      <c r="F4" s="42">
        <v>90272</v>
      </c>
      <c r="G4" s="43">
        <v>0</v>
      </c>
      <c r="H4" s="43">
        <v>0</v>
      </c>
      <c r="I4" s="43">
        <v>2701776</v>
      </c>
      <c r="J4" s="34">
        <v>603738</v>
      </c>
      <c r="K4" s="43">
        <v>54843</v>
      </c>
      <c r="L4" s="44">
        <f t="shared" ref="L4:L11" si="0">(I4-D4)/I4 * 100</f>
        <v>1.3620670255417178E-2</v>
      </c>
      <c r="M4" s="45">
        <f t="shared" ref="M4:M11" si="1">(J4-E4)/J4 * 100</f>
        <v>-0.43545378955772202</v>
      </c>
      <c r="N4" s="46">
        <f t="shared" ref="N4:N11" si="2">(K4-F4)/K4 * 100</f>
        <v>-64.600769469212111</v>
      </c>
    </row>
    <row r="5" spans="1:14" ht="19" x14ac:dyDescent="0.2">
      <c r="A5" s="15" t="s">
        <v>3</v>
      </c>
      <c r="B5" s="32">
        <v>0</v>
      </c>
      <c r="C5" s="33">
        <v>0</v>
      </c>
      <c r="D5" s="34">
        <v>105723</v>
      </c>
      <c r="E5" s="34">
        <v>49621</v>
      </c>
      <c r="F5" s="35">
        <v>3532</v>
      </c>
      <c r="G5" s="43">
        <v>0</v>
      </c>
      <c r="H5" s="43">
        <v>0</v>
      </c>
      <c r="I5" s="43">
        <v>105735</v>
      </c>
      <c r="J5" s="34">
        <v>48867</v>
      </c>
      <c r="K5" s="43">
        <v>1394</v>
      </c>
      <c r="L5" s="44">
        <f t="shared" si="0"/>
        <v>1.1349127535820683E-2</v>
      </c>
      <c r="M5" s="45">
        <f t="shared" si="1"/>
        <v>-1.5429635541367386</v>
      </c>
      <c r="N5" s="46">
        <f t="shared" si="2"/>
        <v>-153.37159253945481</v>
      </c>
    </row>
    <row r="6" spans="1:14" ht="19" x14ac:dyDescent="0.2">
      <c r="A6" s="15" t="s">
        <v>2</v>
      </c>
      <c r="B6" s="32">
        <v>0</v>
      </c>
      <c r="C6" s="33">
        <v>0</v>
      </c>
      <c r="D6" s="34">
        <v>6251847</v>
      </c>
      <c r="E6" s="34">
        <v>289561</v>
      </c>
      <c r="F6" s="42">
        <v>3145918</v>
      </c>
      <c r="G6" s="43">
        <v>0</v>
      </c>
      <c r="H6" s="43">
        <v>0</v>
      </c>
      <c r="I6" s="43">
        <v>6251847</v>
      </c>
      <c r="J6" s="34">
        <v>289561</v>
      </c>
      <c r="K6" s="43">
        <v>54891</v>
      </c>
      <c r="L6" s="44">
        <f t="shared" si="0"/>
        <v>0</v>
      </c>
      <c r="M6" s="45">
        <f t="shared" si="1"/>
        <v>0</v>
      </c>
      <c r="N6" s="46">
        <f t="shared" si="2"/>
        <v>-5631.2091235357348</v>
      </c>
    </row>
    <row r="7" spans="1:14" ht="19" x14ac:dyDescent="0.2">
      <c r="A7" s="15" t="s">
        <v>4</v>
      </c>
      <c r="B7" s="32">
        <v>0</v>
      </c>
      <c r="C7" s="33">
        <v>0</v>
      </c>
      <c r="D7" s="34">
        <v>7152870</v>
      </c>
      <c r="E7" s="34">
        <v>1513541</v>
      </c>
      <c r="F7" s="42">
        <v>326155</v>
      </c>
      <c r="G7" s="43">
        <v>0</v>
      </c>
      <c r="H7" s="43">
        <v>0</v>
      </c>
      <c r="I7" s="43">
        <v>7152870</v>
      </c>
      <c r="J7" s="34">
        <v>1513541</v>
      </c>
      <c r="K7" s="43">
        <v>156403</v>
      </c>
      <c r="L7" s="44">
        <f t="shared" si="0"/>
        <v>0</v>
      </c>
      <c r="M7" s="45">
        <f t="shared" si="1"/>
        <v>0</v>
      </c>
      <c r="N7" s="46">
        <f t="shared" si="2"/>
        <v>-108.53500252552702</v>
      </c>
    </row>
    <row r="8" spans="1:14" ht="19" x14ac:dyDescent="0.2">
      <c r="A8" s="15" t="s">
        <v>5</v>
      </c>
      <c r="B8" s="32">
        <v>0</v>
      </c>
      <c r="C8" s="33">
        <v>0</v>
      </c>
      <c r="D8" s="34">
        <v>13241038</v>
      </c>
      <c r="E8" s="34">
        <v>2933386</v>
      </c>
      <c r="F8" s="42">
        <v>725939</v>
      </c>
      <c r="G8" s="43">
        <v>0</v>
      </c>
      <c r="H8" s="43">
        <v>0</v>
      </c>
      <c r="I8" s="43">
        <v>13241038</v>
      </c>
      <c r="J8" s="34">
        <v>2933386</v>
      </c>
      <c r="K8" s="43">
        <v>253168</v>
      </c>
      <c r="L8" s="44">
        <f t="shared" si="0"/>
        <v>0</v>
      </c>
      <c r="M8" s="45">
        <f t="shared" si="1"/>
        <v>0</v>
      </c>
      <c r="N8" s="46">
        <f t="shared" si="2"/>
        <v>-186.74200530872781</v>
      </c>
    </row>
    <row r="9" spans="1:14" ht="19" x14ac:dyDescent="0.2">
      <c r="A9" s="15" t="s">
        <v>6</v>
      </c>
      <c r="B9" s="32">
        <v>0</v>
      </c>
      <c r="C9" s="33">
        <v>0</v>
      </c>
      <c r="D9" s="34">
        <v>20383150</v>
      </c>
      <c r="E9" s="34">
        <v>4510896</v>
      </c>
      <c r="F9" s="42">
        <v>1569894</v>
      </c>
      <c r="G9" s="43">
        <v>0</v>
      </c>
      <c r="H9" s="43">
        <v>0</v>
      </c>
      <c r="I9" s="43">
        <v>20383150</v>
      </c>
      <c r="J9" s="34">
        <v>4510896</v>
      </c>
      <c r="K9" s="43">
        <v>424244</v>
      </c>
      <c r="L9" s="44">
        <f t="shared" si="0"/>
        <v>0</v>
      </c>
      <c r="M9" s="45">
        <f t="shared" si="1"/>
        <v>0</v>
      </c>
      <c r="N9" s="46">
        <f t="shared" si="2"/>
        <v>-270.04506840403167</v>
      </c>
    </row>
    <row r="10" spans="1:14" ht="19" x14ac:dyDescent="0.2">
      <c r="A10" s="15" t="s">
        <v>7</v>
      </c>
      <c r="B10" s="41">
        <v>5</v>
      </c>
      <c r="C10" s="33">
        <v>2362</v>
      </c>
      <c r="D10" s="34">
        <v>31099895</v>
      </c>
      <c r="E10" s="34">
        <v>7504074</v>
      </c>
      <c r="F10" s="42">
        <v>1794547</v>
      </c>
      <c r="G10" s="43">
        <v>0</v>
      </c>
      <c r="H10" s="43">
        <v>0</v>
      </c>
      <c r="I10" s="43">
        <v>31103484</v>
      </c>
      <c r="J10" s="34">
        <v>7460441</v>
      </c>
      <c r="K10" s="43">
        <v>671354</v>
      </c>
      <c r="L10" s="44">
        <f t="shared" si="0"/>
        <v>1.1538900272393923E-2</v>
      </c>
      <c r="M10" s="45">
        <f t="shared" si="1"/>
        <v>-0.58485818733771899</v>
      </c>
      <c r="N10" s="46">
        <f t="shared" si="2"/>
        <v>-167.30264510228582</v>
      </c>
    </row>
    <row r="11" spans="1:14" ht="19" x14ac:dyDescent="0.2">
      <c r="A11" s="12" t="s">
        <v>8</v>
      </c>
      <c r="B11" s="47">
        <v>0</v>
      </c>
      <c r="C11" s="48">
        <v>0</v>
      </c>
      <c r="D11" s="49">
        <v>30862138</v>
      </c>
      <c r="E11" s="49">
        <v>7390914</v>
      </c>
      <c r="F11" s="50">
        <v>2386741</v>
      </c>
      <c r="G11" s="51">
        <v>0</v>
      </c>
      <c r="H11" s="51">
        <v>0</v>
      </c>
      <c r="I11" s="51">
        <v>30862138</v>
      </c>
      <c r="J11" s="49">
        <v>7390914</v>
      </c>
      <c r="K11" s="51">
        <v>445153</v>
      </c>
      <c r="L11" s="52">
        <f t="shared" si="0"/>
        <v>0</v>
      </c>
      <c r="M11" s="53">
        <f t="shared" si="1"/>
        <v>0</v>
      </c>
      <c r="N11" s="54">
        <f t="shared" si="2"/>
        <v>-436.16194881310469</v>
      </c>
    </row>
    <row r="14" spans="1:14" x14ac:dyDescent="0.2">
      <c r="A14" s="6"/>
      <c r="B14" s="14" t="s">
        <v>15</v>
      </c>
      <c r="C14" s="14"/>
      <c r="D14" s="14"/>
      <c r="E14" s="14"/>
      <c r="F14" s="14"/>
      <c r="G14" s="14" t="s">
        <v>19</v>
      </c>
      <c r="H14" s="14"/>
      <c r="I14" s="14"/>
      <c r="J14" s="14"/>
      <c r="K14" s="14"/>
      <c r="L14" s="14" t="s">
        <v>21</v>
      </c>
      <c r="M14" s="14"/>
      <c r="N14" s="14"/>
    </row>
    <row r="15" spans="1:14" x14ac:dyDescent="0.2">
      <c r="A15" s="6"/>
      <c r="B15" s="6" t="s">
        <v>12</v>
      </c>
      <c r="C15" s="6" t="s">
        <v>11</v>
      </c>
      <c r="D15" s="6" t="s">
        <v>9</v>
      </c>
      <c r="E15" s="6" t="s">
        <v>10</v>
      </c>
      <c r="F15" s="6" t="s">
        <v>13</v>
      </c>
      <c r="G15" s="6" t="s">
        <v>12</v>
      </c>
      <c r="H15" s="6" t="s">
        <v>11</v>
      </c>
      <c r="I15" s="6" t="s">
        <v>9</v>
      </c>
      <c r="J15" s="6" t="s">
        <v>10</v>
      </c>
      <c r="K15" s="6" t="s">
        <v>17</v>
      </c>
      <c r="L15" s="6" t="s">
        <v>22</v>
      </c>
      <c r="M15" s="6" t="s">
        <v>23</v>
      </c>
      <c r="N15" s="6" t="s">
        <v>24</v>
      </c>
    </row>
    <row r="16" spans="1:14" ht="19" x14ac:dyDescent="0.25">
      <c r="A16" s="15" t="s">
        <v>0</v>
      </c>
      <c r="B16" s="7">
        <v>0</v>
      </c>
      <c r="C16" s="55">
        <v>0</v>
      </c>
      <c r="D16" s="8">
        <v>73813</v>
      </c>
      <c r="E16" s="8">
        <v>36032</v>
      </c>
      <c r="F16" s="9">
        <v>1192</v>
      </c>
      <c r="G16" s="7">
        <v>0</v>
      </c>
      <c r="H16" s="8">
        <v>0</v>
      </c>
      <c r="I16" s="8">
        <v>73442</v>
      </c>
      <c r="J16" s="8">
        <v>38517</v>
      </c>
      <c r="K16" s="9">
        <v>1702</v>
      </c>
      <c r="L16" s="21">
        <f>(I16-D16)/I16 * 100</f>
        <v>-0.5051605348438224</v>
      </c>
      <c r="M16" s="22">
        <f>(J16-E16)/J16 * 100</f>
        <v>6.4516966534257607</v>
      </c>
      <c r="N16" s="23">
        <f>(K16-F16)/K16 * 100</f>
        <v>29.964747356051703</v>
      </c>
    </row>
    <row r="17" spans="1:14" ht="19" x14ac:dyDescent="0.25">
      <c r="A17" s="15" t="s">
        <v>1</v>
      </c>
      <c r="B17" s="10">
        <v>0</v>
      </c>
      <c r="C17" s="19">
        <v>0</v>
      </c>
      <c r="D17" s="16">
        <v>2671839</v>
      </c>
      <c r="E17" s="16">
        <v>778542</v>
      </c>
      <c r="F17" s="3">
        <v>30143</v>
      </c>
      <c r="G17" s="10">
        <v>0</v>
      </c>
      <c r="H17" s="2">
        <v>0</v>
      </c>
      <c r="I17" s="2">
        <v>2654550</v>
      </c>
      <c r="J17" s="2">
        <v>809182</v>
      </c>
      <c r="K17" s="3">
        <v>15301</v>
      </c>
      <c r="L17" s="25">
        <f t="shared" ref="L17:L24" si="3">(I17-D17)/I17 * 100</f>
        <v>-0.65129682997118155</v>
      </c>
      <c r="M17" s="26">
        <f t="shared" ref="M17:M24" si="4">(J17-E17)/J17 * 100</f>
        <v>3.7865399872958125</v>
      </c>
      <c r="N17" s="27">
        <f t="shared" ref="N17:N24" si="5">(K17-F17)/K17 * 100</f>
        <v>-97.000196065616635</v>
      </c>
    </row>
    <row r="18" spans="1:14" ht="19" x14ac:dyDescent="0.25">
      <c r="A18" s="15" t="s">
        <v>3</v>
      </c>
      <c r="B18" s="10">
        <v>0</v>
      </c>
      <c r="C18" s="19">
        <v>0</v>
      </c>
      <c r="D18" s="16">
        <v>102274</v>
      </c>
      <c r="E18" s="16">
        <v>62355</v>
      </c>
      <c r="F18" s="3">
        <v>1319</v>
      </c>
      <c r="G18" s="10">
        <v>1</v>
      </c>
      <c r="H18" s="2">
        <v>23</v>
      </c>
      <c r="I18" s="2">
        <v>101847</v>
      </c>
      <c r="J18" s="2">
        <v>64594</v>
      </c>
      <c r="K18" s="3">
        <v>1334</v>
      </c>
      <c r="L18" s="25">
        <f t="shared" si="3"/>
        <v>-0.41925633548361757</v>
      </c>
      <c r="M18" s="26">
        <f t="shared" si="4"/>
        <v>3.4662662166764715</v>
      </c>
      <c r="N18" s="27">
        <f t="shared" si="5"/>
        <v>1.1244377811094453</v>
      </c>
    </row>
    <row r="19" spans="1:14" ht="19" x14ac:dyDescent="0.25">
      <c r="A19" s="15" t="s">
        <v>2</v>
      </c>
      <c r="B19" s="10">
        <v>0</v>
      </c>
      <c r="C19" s="19">
        <v>0</v>
      </c>
      <c r="D19" s="16">
        <v>5982882</v>
      </c>
      <c r="E19" s="16">
        <v>760735</v>
      </c>
      <c r="F19" s="3">
        <v>18644</v>
      </c>
      <c r="G19" s="10">
        <v>10</v>
      </c>
      <c r="H19" s="2">
        <v>879</v>
      </c>
      <c r="I19" s="2">
        <v>6953325</v>
      </c>
      <c r="J19" s="2">
        <v>787964</v>
      </c>
      <c r="K19" s="3">
        <v>23125</v>
      </c>
      <c r="L19" s="25">
        <f t="shared" si="3"/>
        <v>13.956531587406026</v>
      </c>
      <c r="M19" s="26">
        <f t="shared" si="4"/>
        <v>3.455614723515287</v>
      </c>
      <c r="N19" s="27">
        <f t="shared" si="5"/>
        <v>19.377297297297297</v>
      </c>
    </row>
    <row r="20" spans="1:14" ht="19" x14ac:dyDescent="0.25">
      <c r="A20" s="15" t="s">
        <v>4</v>
      </c>
      <c r="B20" s="10">
        <v>0</v>
      </c>
      <c r="C20" s="19">
        <v>0</v>
      </c>
      <c r="D20" s="16">
        <v>7077636</v>
      </c>
      <c r="E20" s="16">
        <v>1959409</v>
      </c>
      <c r="F20" s="3">
        <v>84039</v>
      </c>
      <c r="G20" s="24">
        <v>0</v>
      </c>
      <c r="H20" s="2">
        <v>0</v>
      </c>
      <c r="I20" s="2">
        <v>7046387</v>
      </c>
      <c r="J20" s="2">
        <v>2050047</v>
      </c>
      <c r="K20" s="3">
        <v>38500</v>
      </c>
      <c r="L20" s="25">
        <f t="shared" si="3"/>
        <v>-0.44347550028120797</v>
      </c>
      <c r="M20" s="26">
        <f t="shared" si="4"/>
        <v>4.4212644880824685</v>
      </c>
      <c r="N20" s="27">
        <f t="shared" si="5"/>
        <v>-118.28311688311688</v>
      </c>
    </row>
    <row r="21" spans="1:14" ht="19" x14ac:dyDescent="0.25">
      <c r="A21" s="15" t="s">
        <v>5</v>
      </c>
      <c r="B21" s="10">
        <v>0</v>
      </c>
      <c r="C21" s="19">
        <v>0</v>
      </c>
      <c r="D21" s="16">
        <v>13087831</v>
      </c>
      <c r="E21" s="16">
        <v>3758228</v>
      </c>
      <c r="F21" s="3">
        <v>179749</v>
      </c>
      <c r="G21" s="24">
        <v>1</v>
      </c>
      <c r="H21" s="2">
        <v>6</v>
      </c>
      <c r="I21" s="2">
        <v>13070658</v>
      </c>
      <c r="J21" s="2">
        <v>3829050</v>
      </c>
      <c r="K21" s="3">
        <v>70144</v>
      </c>
      <c r="L21" s="25">
        <f t="shared" si="3"/>
        <v>-0.13138588738225726</v>
      </c>
      <c r="M21" s="26">
        <f t="shared" si="4"/>
        <v>1.8495971585641349</v>
      </c>
      <c r="N21" s="27">
        <f t="shared" si="5"/>
        <v>-156.25712819343065</v>
      </c>
    </row>
    <row r="22" spans="1:14" ht="19" x14ac:dyDescent="0.25">
      <c r="A22" s="15" t="s">
        <v>6</v>
      </c>
      <c r="B22" s="10">
        <v>0</v>
      </c>
      <c r="C22" s="19">
        <v>0</v>
      </c>
      <c r="D22" s="16">
        <v>20153313</v>
      </c>
      <c r="E22" s="16">
        <v>5863698</v>
      </c>
      <c r="F22" s="3">
        <v>248466</v>
      </c>
      <c r="G22" s="24">
        <v>0</v>
      </c>
      <c r="H22" s="2">
        <v>0</v>
      </c>
      <c r="I22" s="2">
        <v>20038806</v>
      </c>
      <c r="J22" s="2">
        <v>6306381</v>
      </c>
      <c r="K22" s="3">
        <v>102290</v>
      </c>
      <c r="L22" s="25">
        <f t="shared" si="3"/>
        <v>-0.57142626162456989</v>
      </c>
      <c r="M22" s="26">
        <f t="shared" si="4"/>
        <v>7.0196044292281101</v>
      </c>
      <c r="N22" s="27">
        <f t="shared" si="5"/>
        <v>-142.9035096294848</v>
      </c>
    </row>
    <row r="23" spans="1:14" ht="19" x14ac:dyDescent="0.25">
      <c r="A23" s="15" t="s">
        <v>7</v>
      </c>
      <c r="B23" s="10">
        <v>0</v>
      </c>
      <c r="C23" s="19">
        <v>0</v>
      </c>
      <c r="D23" s="16">
        <v>30706545</v>
      </c>
      <c r="E23" s="16">
        <v>9704524</v>
      </c>
      <c r="F23" s="3">
        <v>389344</v>
      </c>
      <c r="G23" s="24">
        <v>1</v>
      </c>
      <c r="H23" s="2">
        <v>9</v>
      </c>
      <c r="I23" s="2">
        <v>30497966</v>
      </c>
      <c r="J23" s="2">
        <v>10499897</v>
      </c>
      <c r="K23" s="3">
        <v>151809</v>
      </c>
      <c r="L23" s="25">
        <f t="shared" si="3"/>
        <v>-0.68391118279822338</v>
      </c>
      <c r="M23" s="26">
        <f t="shared" si="4"/>
        <v>7.5750552600658843</v>
      </c>
      <c r="N23" s="27">
        <f t="shared" si="5"/>
        <v>-156.46964277480257</v>
      </c>
    </row>
    <row r="24" spans="1:14" ht="19" x14ac:dyDescent="0.25">
      <c r="A24" s="12" t="s">
        <v>8</v>
      </c>
      <c r="B24" s="17">
        <v>0</v>
      </c>
      <c r="C24" s="28">
        <v>0</v>
      </c>
      <c r="D24" s="4">
        <v>30307968</v>
      </c>
      <c r="E24" s="4">
        <v>9445134</v>
      </c>
      <c r="F24" s="5">
        <v>383785</v>
      </c>
      <c r="G24" s="56">
        <v>2</v>
      </c>
      <c r="H24" s="28">
        <v>540</v>
      </c>
      <c r="I24" s="4">
        <v>30123417</v>
      </c>
      <c r="J24" s="4">
        <v>9661469</v>
      </c>
      <c r="K24" s="5">
        <v>144617</v>
      </c>
      <c r="L24" s="29">
        <f t="shared" si="3"/>
        <v>-0.61264962072529816</v>
      </c>
      <c r="M24" s="30">
        <f t="shared" si="4"/>
        <v>2.2391522448604864</v>
      </c>
      <c r="N24" s="31">
        <f t="shared" si="5"/>
        <v>-165.38028032665594</v>
      </c>
    </row>
    <row r="27" spans="1:14" x14ac:dyDescent="0.2">
      <c r="A27" s="6"/>
      <c r="B27" s="18" t="s">
        <v>16</v>
      </c>
      <c r="C27" s="14"/>
      <c r="D27" s="14"/>
      <c r="E27" s="14"/>
      <c r="F27" s="14"/>
      <c r="G27" s="14" t="s">
        <v>18</v>
      </c>
      <c r="H27" s="14"/>
      <c r="I27" s="14"/>
      <c r="J27" s="14"/>
      <c r="K27" s="14"/>
      <c r="L27" s="14" t="s">
        <v>21</v>
      </c>
      <c r="M27" s="14"/>
      <c r="N27" s="14"/>
    </row>
    <row r="28" spans="1:14" ht="19" x14ac:dyDescent="0.25">
      <c r="A28" s="6"/>
      <c r="B28" s="57" t="s">
        <v>12</v>
      </c>
      <c r="C28" s="58" t="s">
        <v>11</v>
      </c>
      <c r="D28" s="58" t="s">
        <v>9</v>
      </c>
      <c r="E28" s="58" t="s">
        <v>10</v>
      </c>
      <c r="F28" s="58" t="s">
        <v>13</v>
      </c>
      <c r="G28" s="58" t="s">
        <v>12</v>
      </c>
      <c r="H28" s="58" t="s">
        <v>11</v>
      </c>
      <c r="I28" s="58" t="s">
        <v>9</v>
      </c>
      <c r="J28" s="58" t="s">
        <v>10</v>
      </c>
      <c r="K28" s="58" t="s">
        <v>17</v>
      </c>
      <c r="L28" s="58" t="s">
        <v>22</v>
      </c>
      <c r="M28" s="58" t="s">
        <v>23</v>
      </c>
      <c r="N28" s="58" t="s">
        <v>24</v>
      </c>
    </row>
    <row r="29" spans="1:14" ht="19" x14ac:dyDescent="0.25">
      <c r="A29" s="15" t="s">
        <v>0</v>
      </c>
      <c r="B29" s="8">
        <v>0</v>
      </c>
      <c r="C29" s="55">
        <v>0</v>
      </c>
      <c r="D29" s="8">
        <v>74683</v>
      </c>
      <c r="E29" s="8">
        <v>27629</v>
      </c>
      <c r="F29" s="9">
        <v>372</v>
      </c>
      <c r="G29" s="7">
        <v>0</v>
      </c>
      <c r="H29" s="8">
        <v>0</v>
      </c>
      <c r="I29" s="8">
        <v>74683</v>
      </c>
      <c r="J29" s="8">
        <v>28139</v>
      </c>
      <c r="K29" s="9">
        <v>1258</v>
      </c>
      <c r="L29" s="21">
        <f>(I29-D29)/I29 * 100</f>
        <v>0</v>
      </c>
      <c r="M29" s="22">
        <f>(J29-E29)/J29 * 100</f>
        <v>1.8124311453854081</v>
      </c>
      <c r="N29" s="23">
        <f>(K29-F29)/K29 * 100</f>
        <v>70.42925278219397</v>
      </c>
    </row>
    <row r="30" spans="1:14" ht="19" x14ac:dyDescent="0.25">
      <c r="A30" s="15" t="s">
        <v>1</v>
      </c>
      <c r="B30" s="19">
        <v>4</v>
      </c>
      <c r="C30" s="59">
        <v>154</v>
      </c>
      <c r="D30" s="2">
        <v>2695479</v>
      </c>
      <c r="E30" s="2">
        <v>600914</v>
      </c>
      <c r="F30" s="3">
        <v>5473</v>
      </c>
      <c r="G30" s="10">
        <v>2</v>
      </c>
      <c r="H30" s="16">
        <v>8</v>
      </c>
      <c r="I30" s="16">
        <v>2696220</v>
      </c>
      <c r="J30" s="16">
        <v>607912</v>
      </c>
      <c r="K30" s="3">
        <v>15886</v>
      </c>
      <c r="L30" s="25">
        <f t="shared" ref="L30:L37" si="6">(I30-D30)/I30 * 100</f>
        <v>2.7482920533190913E-2</v>
      </c>
      <c r="M30" s="26">
        <f t="shared" ref="M30:M37" si="7">(J30-E30)/J30 * 100</f>
        <v>1.1511534564213242</v>
      </c>
      <c r="N30" s="27">
        <f t="shared" ref="N30:N37" si="8">(K30-F30)/K30 * 100</f>
        <v>65.548281505728312</v>
      </c>
    </row>
    <row r="31" spans="1:14" ht="19" x14ac:dyDescent="0.25">
      <c r="A31" s="15" t="s">
        <v>3</v>
      </c>
      <c r="B31" s="16">
        <v>0</v>
      </c>
      <c r="C31" s="59">
        <v>0</v>
      </c>
      <c r="D31" s="2">
        <v>104976</v>
      </c>
      <c r="E31" s="2">
        <v>50582</v>
      </c>
      <c r="F31" s="3">
        <v>500</v>
      </c>
      <c r="G31" s="10">
        <v>0</v>
      </c>
      <c r="H31" s="16">
        <v>0</v>
      </c>
      <c r="I31" s="16">
        <v>105009</v>
      </c>
      <c r="J31" s="16">
        <v>49818</v>
      </c>
      <c r="K31" s="3">
        <v>2424</v>
      </c>
      <c r="L31" s="25">
        <f t="shared" si="6"/>
        <v>3.1425877781904407E-2</v>
      </c>
      <c r="M31" s="26">
        <f t="shared" si="7"/>
        <v>-1.5335822393512384</v>
      </c>
      <c r="N31" s="27">
        <f t="shared" si="8"/>
        <v>79.372937293729379</v>
      </c>
    </row>
    <row r="32" spans="1:14" ht="19" x14ac:dyDescent="0.25">
      <c r="A32" s="15" t="s">
        <v>2</v>
      </c>
      <c r="B32" s="19">
        <v>17</v>
      </c>
      <c r="C32" s="2">
        <v>77337</v>
      </c>
      <c r="D32" s="2">
        <v>5944968</v>
      </c>
      <c r="E32" s="2">
        <v>592015</v>
      </c>
      <c r="F32" s="3">
        <v>6301</v>
      </c>
      <c r="G32" s="24" t="s">
        <v>20</v>
      </c>
      <c r="H32" s="19" t="s">
        <v>20</v>
      </c>
      <c r="I32" s="19" t="s">
        <v>20</v>
      </c>
      <c r="J32" s="19" t="s">
        <v>20</v>
      </c>
      <c r="K32" s="20" t="s">
        <v>20</v>
      </c>
      <c r="L32" s="25" t="s">
        <v>20</v>
      </c>
      <c r="M32" s="26" t="s">
        <v>20</v>
      </c>
      <c r="N32" s="27" t="s">
        <v>20</v>
      </c>
    </row>
    <row r="33" spans="1:14" ht="19" x14ac:dyDescent="0.25">
      <c r="A33" s="15" t="s">
        <v>4</v>
      </c>
      <c r="B33" s="2">
        <v>19</v>
      </c>
      <c r="C33" s="2">
        <v>21352</v>
      </c>
      <c r="D33" s="2">
        <v>7143348</v>
      </c>
      <c r="E33" s="2">
        <v>1499842</v>
      </c>
      <c r="F33" s="3">
        <v>16863</v>
      </c>
      <c r="G33" s="24">
        <v>15</v>
      </c>
      <c r="H33" s="16">
        <v>13117</v>
      </c>
      <c r="I33" s="16">
        <v>7145865</v>
      </c>
      <c r="J33" s="16">
        <v>1516817</v>
      </c>
      <c r="K33" s="3">
        <v>28436</v>
      </c>
      <c r="L33" s="25">
        <f t="shared" si="6"/>
        <v>3.5223167524155573E-2</v>
      </c>
      <c r="M33" s="26">
        <f t="shared" si="7"/>
        <v>1.119119841088279</v>
      </c>
      <c r="N33" s="27">
        <f t="shared" si="8"/>
        <v>40.698410465606976</v>
      </c>
    </row>
    <row r="34" spans="1:14" ht="19" x14ac:dyDescent="0.25">
      <c r="A34" s="15" t="s">
        <v>5</v>
      </c>
      <c r="B34" s="19">
        <v>19</v>
      </c>
      <c r="C34" s="2">
        <v>14618</v>
      </c>
      <c r="D34" s="2">
        <v>13214878</v>
      </c>
      <c r="E34" s="2">
        <v>2941294</v>
      </c>
      <c r="F34" s="3">
        <v>29706</v>
      </c>
      <c r="G34" s="24">
        <v>15</v>
      </c>
      <c r="H34" s="16">
        <v>9289</v>
      </c>
      <c r="I34" s="16">
        <v>13215018</v>
      </c>
      <c r="J34" s="16">
        <v>2973810</v>
      </c>
      <c r="K34" s="3">
        <v>63416</v>
      </c>
      <c r="L34" s="25">
        <f t="shared" si="6"/>
        <v>1.0594007514783559E-3</v>
      </c>
      <c r="M34" s="26">
        <f t="shared" si="7"/>
        <v>1.0934121547778775</v>
      </c>
      <c r="N34" s="27">
        <f t="shared" si="8"/>
        <v>53.156932004541446</v>
      </c>
    </row>
    <row r="35" spans="1:14" ht="19" x14ac:dyDescent="0.25">
      <c r="A35" s="15" t="s">
        <v>6</v>
      </c>
      <c r="B35" s="19">
        <v>19</v>
      </c>
      <c r="C35" s="2">
        <v>4774</v>
      </c>
      <c r="D35" s="2">
        <v>20330466</v>
      </c>
      <c r="E35" s="2">
        <v>4490119</v>
      </c>
      <c r="F35" s="3">
        <v>43293</v>
      </c>
      <c r="G35" s="24">
        <v>15</v>
      </c>
      <c r="H35" s="16">
        <v>2221</v>
      </c>
      <c r="I35" s="16">
        <v>20331555</v>
      </c>
      <c r="J35" s="16">
        <v>4531066</v>
      </c>
      <c r="K35" s="3">
        <v>102949</v>
      </c>
      <c r="L35" s="25">
        <f t="shared" si="6"/>
        <v>5.3562061534398134E-3</v>
      </c>
      <c r="M35" s="26">
        <f t="shared" si="7"/>
        <v>0.90369462726872651</v>
      </c>
      <c r="N35" s="27">
        <f t="shared" si="8"/>
        <v>57.94713887458839</v>
      </c>
    </row>
    <row r="36" spans="1:14" ht="19" x14ac:dyDescent="0.25">
      <c r="A36" s="15" t="s">
        <v>7</v>
      </c>
      <c r="B36" s="19">
        <v>19</v>
      </c>
      <c r="C36" s="2">
        <v>5678</v>
      </c>
      <c r="D36" s="2">
        <v>31011467</v>
      </c>
      <c r="E36" s="2">
        <v>7480045</v>
      </c>
      <c r="F36" s="3">
        <v>68835</v>
      </c>
      <c r="G36" s="24">
        <v>15</v>
      </c>
      <c r="H36" s="16">
        <v>3428</v>
      </c>
      <c r="I36" s="16">
        <v>31014234</v>
      </c>
      <c r="J36" s="16">
        <v>7544236</v>
      </c>
      <c r="K36" s="3">
        <v>159475</v>
      </c>
      <c r="L36" s="25">
        <f t="shared" si="6"/>
        <v>8.9217099477614057E-3</v>
      </c>
      <c r="M36" s="26">
        <f t="shared" si="7"/>
        <v>0.85086150539299155</v>
      </c>
      <c r="N36" s="27">
        <f t="shared" si="8"/>
        <v>56.836494748393164</v>
      </c>
    </row>
    <row r="37" spans="1:14" ht="19" x14ac:dyDescent="0.25">
      <c r="A37" s="12" t="s">
        <v>8</v>
      </c>
      <c r="B37" s="28">
        <v>19</v>
      </c>
      <c r="C37" s="28">
        <v>9331</v>
      </c>
      <c r="D37" s="4">
        <v>30626313</v>
      </c>
      <c r="E37" s="4">
        <v>7485207</v>
      </c>
      <c r="F37" s="5">
        <v>68203</v>
      </c>
      <c r="G37" s="56">
        <v>15</v>
      </c>
      <c r="H37" s="28">
        <v>6462</v>
      </c>
      <c r="I37" s="4">
        <v>30629076</v>
      </c>
      <c r="J37" s="4">
        <v>7552147</v>
      </c>
      <c r="K37" s="5">
        <v>128571</v>
      </c>
      <c r="L37" s="29">
        <f t="shared" si="6"/>
        <v>9.0208401977258466E-3</v>
      </c>
      <c r="M37" s="30">
        <f t="shared" si="7"/>
        <v>0.88637045862587149</v>
      </c>
      <c r="N37" s="31">
        <f t="shared" si="8"/>
        <v>46.953045399040214</v>
      </c>
    </row>
    <row r="38" spans="1:14" x14ac:dyDescent="0.2">
      <c r="L38" s="1"/>
      <c r="M38" s="1"/>
      <c r="N38" s="1"/>
    </row>
  </sheetData>
  <mergeCells count="9">
    <mergeCell ref="L1:N1"/>
    <mergeCell ref="L14:N14"/>
    <mergeCell ref="L27:N27"/>
    <mergeCell ref="B1:F1"/>
    <mergeCell ref="B14:F14"/>
    <mergeCell ref="B27:F27"/>
    <mergeCell ref="G1:K1"/>
    <mergeCell ref="G14:K14"/>
    <mergeCell ref="G27:K27"/>
  </mergeCells>
  <conditionalFormatting sqref="L3:N10">
    <cfRule type="cellIs" dxfId="5" priority="6" operator="lessThan">
      <formula>0</formula>
    </cfRule>
  </conditionalFormatting>
  <conditionalFormatting sqref="L16:N24">
    <cfRule type="cellIs" dxfId="4" priority="4" operator="greaterThan">
      <formula>0</formula>
    </cfRule>
    <cfRule type="cellIs" dxfId="3" priority="5" operator="lessThan">
      <formula>0</formula>
    </cfRule>
  </conditionalFormatting>
  <conditionalFormatting sqref="L29:N37">
    <cfRule type="cellIs" dxfId="2" priority="3" operator="greaterThan">
      <formula>0</formula>
    </cfRule>
  </conditionalFormatting>
  <conditionalFormatting sqref="L3:N11">
    <cfRule type="cellIs" dxfId="1" priority="2" operator="lessThan">
      <formula>0</formula>
    </cfRule>
  </conditionalFormatting>
  <conditionalFormatting sqref="L2:N11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Taizun Jafri</dc:creator>
  <cp:lastModifiedBy>Taizun Jafri</cp:lastModifiedBy>
  <dcterms:created xsi:type="dcterms:W3CDTF">2026-06-16T14:59:11Z</dcterms:created>
  <dcterms:modified xsi:type="dcterms:W3CDTF">2026-06-18T15:37:51Z</dcterms:modified>
</cp:coreProperties>
</file>