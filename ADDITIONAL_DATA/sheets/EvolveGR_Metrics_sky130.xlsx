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izunj/Documents/Masters_2024/ASU/Student_Docs/RESEARCH/GR-Evolve/sheets/"/>
    </mc:Choice>
  </mc:AlternateContent>
  <xr:revisionPtr revIDLastSave="0" documentId="13_ncr:1_{781E4053-606A-7D43-84F5-AC67F849BCB0}" xr6:coauthVersionLast="47" xr6:coauthVersionMax="47" xr10:uidLastSave="{00000000-0000-0000-0000-000000000000}"/>
  <bookViews>
    <workbookView xWindow="20" yWindow="620" windowWidth="68800" windowHeight="26500" activeTab="8" xr2:uid="{99510028-CFD5-8840-81F4-4E56C8B47B1F}"/>
  </bookViews>
  <sheets>
    <sheet name="FR_AES" sheetId="17" r:id="rId1"/>
    <sheet name="FR_IBEX" sheetId="16" r:id="rId2"/>
    <sheet name="FR_JPEG" sheetId="9" r:id="rId3"/>
    <sheet name="CUGR_AES" sheetId="10" r:id="rId4"/>
    <sheet name="CUGR_IBEX" sheetId="12" r:id="rId5"/>
    <sheet name="CUGR_JPEG" sheetId="15" r:id="rId6"/>
    <sheet name="SPR_AES" sheetId="11" r:id="rId7"/>
    <sheet name="SPR_IBEX" sheetId="13" r:id="rId8"/>
    <sheet name="SPR_JPEG" sheetId="14" r:id="rId9"/>
  </sheets>
  <calcPr calcId="191029"/>
  <customWorkbookViews>
    <customWorkbookView name="Dark Mode" guid="{D5CD6A23-5484-884C-BDDD-B99B92642D59}" yWindow="35" windowWidth="1710" windowHeight="96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0" l="1"/>
  <c r="K6" i="10"/>
  <c r="L6" i="10"/>
  <c r="M6" i="10"/>
  <c r="N6" i="10"/>
  <c r="J7" i="10"/>
  <c r="K7" i="10"/>
  <c r="L7" i="10"/>
  <c r="M7" i="10"/>
  <c r="N7" i="10"/>
  <c r="J8" i="10"/>
  <c r="K8" i="10"/>
  <c r="L8" i="10"/>
  <c r="M8" i="10"/>
  <c r="N8" i="10"/>
  <c r="J9" i="10"/>
  <c r="K9" i="10"/>
  <c r="L9" i="10"/>
  <c r="M9" i="10"/>
  <c r="N9" i="10"/>
  <c r="J10" i="10"/>
  <c r="K10" i="10"/>
  <c r="L10" i="10"/>
  <c r="M10" i="10"/>
  <c r="N10" i="10"/>
  <c r="J11" i="10"/>
  <c r="K11" i="10"/>
  <c r="L11" i="10"/>
  <c r="M11" i="10"/>
  <c r="N11" i="10"/>
  <c r="J12" i="10"/>
  <c r="K12" i="10"/>
  <c r="L12" i="10"/>
  <c r="M12" i="10"/>
  <c r="N12" i="10"/>
  <c r="J13" i="10"/>
  <c r="K13" i="10"/>
  <c r="L13" i="10"/>
  <c r="M13" i="10"/>
  <c r="N13" i="10"/>
  <c r="J14" i="10"/>
  <c r="K14" i="10"/>
  <c r="L14" i="10"/>
  <c r="M14" i="10"/>
  <c r="N14" i="10"/>
  <c r="J15" i="10"/>
  <c r="K15" i="10"/>
  <c r="L15" i="10"/>
  <c r="M15" i="10"/>
  <c r="N15" i="10"/>
  <c r="J16" i="10"/>
  <c r="K16" i="10"/>
  <c r="L16" i="10"/>
  <c r="M16" i="10"/>
  <c r="N16" i="10"/>
  <c r="J17" i="10"/>
  <c r="K17" i="10"/>
  <c r="L17" i="10"/>
  <c r="M17" i="10"/>
  <c r="N17" i="10"/>
  <c r="N17" i="14"/>
  <c r="M17" i="14"/>
  <c r="L17" i="14"/>
  <c r="K17" i="14"/>
  <c r="J17" i="14"/>
  <c r="N16" i="14"/>
  <c r="M16" i="14"/>
  <c r="L16" i="14"/>
  <c r="K16" i="14"/>
  <c r="J16" i="14"/>
  <c r="N15" i="14"/>
  <c r="M15" i="14"/>
  <c r="L15" i="14"/>
  <c r="K15" i="14"/>
  <c r="J15" i="14"/>
  <c r="N14" i="14"/>
  <c r="M14" i="14"/>
  <c r="L14" i="14"/>
  <c r="K14" i="14"/>
  <c r="J14" i="14"/>
  <c r="N13" i="14"/>
  <c r="M13" i="14"/>
  <c r="L13" i="14"/>
  <c r="K13" i="14"/>
  <c r="J13" i="14"/>
  <c r="N12" i="14"/>
  <c r="M12" i="14"/>
  <c r="L12" i="14"/>
  <c r="K12" i="14"/>
  <c r="J12" i="14"/>
  <c r="N11" i="14"/>
  <c r="M11" i="14"/>
  <c r="L11" i="14"/>
  <c r="K11" i="14"/>
  <c r="J11" i="14"/>
  <c r="N10" i="14"/>
  <c r="M10" i="14"/>
  <c r="L10" i="14"/>
  <c r="K10" i="14"/>
  <c r="J10" i="14"/>
  <c r="N9" i="14"/>
  <c r="M9" i="14"/>
  <c r="L9" i="14"/>
  <c r="K9" i="14"/>
  <c r="J9" i="14"/>
  <c r="N8" i="14"/>
  <c r="M8" i="14"/>
  <c r="L8" i="14"/>
  <c r="K8" i="14"/>
  <c r="J8" i="14"/>
  <c r="N7" i="14"/>
  <c r="M7" i="14"/>
  <c r="L7" i="14"/>
  <c r="K7" i="14"/>
  <c r="J7" i="14"/>
  <c r="N6" i="14"/>
  <c r="M6" i="14"/>
  <c r="L6" i="14"/>
  <c r="K6" i="14"/>
  <c r="J6" i="14"/>
  <c r="N17" i="13"/>
  <c r="M17" i="13"/>
  <c r="L17" i="13"/>
  <c r="K17" i="13"/>
  <c r="J17" i="13"/>
  <c r="N16" i="13"/>
  <c r="M16" i="13"/>
  <c r="L16" i="13"/>
  <c r="K16" i="13"/>
  <c r="J16" i="13"/>
  <c r="N15" i="13"/>
  <c r="M15" i="13"/>
  <c r="L15" i="13"/>
  <c r="K15" i="13"/>
  <c r="J15" i="13"/>
  <c r="N14" i="13"/>
  <c r="M14" i="13"/>
  <c r="L14" i="13"/>
  <c r="K14" i="13"/>
  <c r="J14" i="13"/>
  <c r="N13" i="13"/>
  <c r="M13" i="13"/>
  <c r="L13" i="13"/>
  <c r="K13" i="13"/>
  <c r="J13" i="13"/>
  <c r="N12" i="13"/>
  <c r="M12" i="13"/>
  <c r="L12" i="13"/>
  <c r="K12" i="13"/>
  <c r="J12" i="13"/>
  <c r="N11" i="13"/>
  <c r="M11" i="13"/>
  <c r="L11" i="13"/>
  <c r="K11" i="13"/>
  <c r="J11" i="13"/>
  <c r="N10" i="13"/>
  <c r="M10" i="13"/>
  <c r="L10" i="13"/>
  <c r="K10" i="13"/>
  <c r="J10" i="13"/>
  <c r="N9" i="13"/>
  <c r="M9" i="13"/>
  <c r="L9" i="13"/>
  <c r="K9" i="13"/>
  <c r="J9" i="13"/>
  <c r="N8" i="13"/>
  <c r="M8" i="13"/>
  <c r="L8" i="13"/>
  <c r="K8" i="13"/>
  <c r="J8" i="13"/>
  <c r="N7" i="13"/>
  <c r="M7" i="13"/>
  <c r="L7" i="13"/>
  <c r="K7" i="13"/>
  <c r="J7" i="13"/>
  <c r="N6" i="13"/>
  <c r="M6" i="13"/>
  <c r="L6" i="13"/>
  <c r="K6" i="13"/>
  <c r="J6" i="13"/>
  <c r="N17" i="11"/>
  <c r="N16" i="11"/>
  <c r="N15" i="11"/>
  <c r="N14" i="11"/>
  <c r="N13" i="11"/>
  <c r="N12" i="11"/>
  <c r="N11" i="11"/>
  <c r="N10" i="11"/>
  <c r="N9" i="11"/>
  <c r="N8" i="11"/>
  <c r="N7" i="11"/>
  <c r="N6" i="11"/>
  <c r="M17" i="11"/>
  <c r="M16" i="11"/>
  <c r="M15" i="11"/>
  <c r="M14" i="11"/>
  <c r="M13" i="11"/>
  <c r="M12" i="11"/>
  <c r="M11" i="11"/>
  <c r="M10" i="11"/>
  <c r="M9" i="11"/>
  <c r="M8" i="11"/>
  <c r="M7" i="11"/>
  <c r="M6" i="11"/>
  <c r="L17" i="11"/>
  <c r="L16" i="11"/>
  <c r="L15" i="11"/>
  <c r="L14" i="11"/>
  <c r="L13" i="11"/>
  <c r="L12" i="11"/>
  <c r="L11" i="11"/>
  <c r="L10" i="11"/>
  <c r="L9" i="11"/>
  <c r="L8" i="11"/>
  <c r="L7" i="11"/>
  <c r="L6" i="11"/>
  <c r="N17" i="15"/>
  <c r="M17" i="15"/>
  <c r="L17" i="15"/>
  <c r="K17" i="15"/>
  <c r="J17" i="15"/>
  <c r="N16" i="15"/>
  <c r="M16" i="15"/>
  <c r="L16" i="15"/>
  <c r="K16" i="15"/>
  <c r="J16" i="15"/>
  <c r="N15" i="15"/>
  <c r="M15" i="15"/>
  <c r="L15" i="15"/>
  <c r="K15" i="15"/>
  <c r="J15" i="15"/>
  <c r="N14" i="15"/>
  <c r="M14" i="15"/>
  <c r="L14" i="15"/>
  <c r="K14" i="15"/>
  <c r="J14" i="15"/>
  <c r="N13" i="15"/>
  <c r="M13" i="15"/>
  <c r="L13" i="15"/>
  <c r="K13" i="15"/>
  <c r="J13" i="15"/>
  <c r="N12" i="15"/>
  <c r="M12" i="15"/>
  <c r="L12" i="15"/>
  <c r="K12" i="15"/>
  <c r="J12" i="15"/>
  <c r="N11" i="15"/>
  <c r="M11" i="15"/>
  <c r="L11" i="15"/>
  <c r="K11" i="15"/>
  <c r="J11" i="15"/>
  <c r="N10" i="15"/>
  <c r="M10" i="15"/>
  <c r="L10" i="15"/>
  <c r="K10" i="15"/>
  <c r="J10" i="15"/>
  <c r="N9" i="15"/>
  <c r="M9" i="15"/>
  <c r="L9" i="15"/>
  <c r="K9" i="15"/>
  <c r="J9" i="15"/>
  <c r="N8" i="15"/>
  <c r="M8" i="15"/>
  <c r="L8" i="15"/>
  <c r="K8" i="15"/>
  <c r="J8" i="15"/>
  <c r="N7" i="15"/>
  <c r="M7" i="15"/>
  <c r="L7" i="15"/>
  <c r="K7" i="15"/>
  <c r="J7" i="15"/>
  <c r="N6" i="15"/>
  <c r="M6" i="15"/>
  <c r="L6" i="15"/>
  <c r="K6" i="15"/>
  <c r="J6" i="15"/>
  <c r="N17" i="12"/>
  <c r="M17" i="12"/>
  <c r="L17" i="12"/>
  <c r="K17" i="12"/>
  <c r="J17" i="12"/>
  <c r="N16" i="12"/>
  <c r="M16" i="12"/>
  <c r="L16" i="12"/>
  <c r="K16" i="12"/>
  <c r="J16" i="12"/>
  <c r="N15" i="12"/>
  <c r="M15" i="12"/>
  <c r="L15" i="12"/>
  <c r="K15" i="12"/>
  <c r="J15" i="12"/>
  <c r="N14" i="12"/>
  <c r="M14" i="12"/>
  <c r="L14" i="12"/>
  <c r="K14" i="12"/>
  <c r="J14" i="12"/>
  <c r="N13" i="12"/>
  <c r="M13" i="12"/>
  <c r="L13" i="12"/>
  <c r="K13" i="12"/>
  <c r="J13" i="12"/>
  <c r="N12" i="12"/>
  <c r="M12" i="12"/>
  <c r="L12" i="12"/>
  <c r="K12" i="12"/>
  <c r="J12" i="12"/>
  <c r="N11" i="12"/>
  <c r="M11" i="12"/>
  <c r="L11" i="12"/>
  <c r="K11" i="12"/>
  <c r="J11" i="12"/>
  <c r="N10" i="12"/>
  <c r="M10" i="12"/>
  <c r="L10" i="12"/>
  <c r="K10" i="12"/>
  <c r="J10" i="12"/>
  <c r="N9" i="12"/>
  <c r="M9" i="12"/>
  <c r="L9" i="12"/>
  <c r="K9" i="12"/>
  <c r="J9" i="12"/>
  <c r="N8" i="12"/>
  <c r="M8" i="12"/>
  <c r="L8" i="12"/>
  <c r="K8" i="12"/>
  <c r="J8" i="12"/>
  <c r="N7" i="12"/>
  <c r="M7" i="12"/>
  <c r="L7" i="12"/>
  <c r="K7" i="12"/>
  <c r="J7" i="12"/>
  <c r="N6" i="12"/>
  <c r="M6" i="12"/>
  <c r="L6" i="12"/>
  <c r="K6" i="12"/>
  <c r="J6" i="12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K8" i="11"/>
  <c r="K7" i="11"/>
  <c r="K6" i="11"/>
  <c r="J9" i="11"/>
  <c r="J8" i="11"/>
  <c r="J6" i="11"/>
  <c r="J7" i="11"/>
  <c r="N17" i="17"/>
  <c r="M17" i="17"/>
  <c r="L17" i="17"/>
  <c r="K17" i="17"/>
  <c r="J17" i="17"/>
  <c r="N16" i="17"/>
  <c r="M16" i="17"/>
  <c r="L16" i="17"/>
  <c r="K16" i="17"/>
  <c r="J16" i="17"/>
  <c r="N15" i="17"/>
  <c r="M15" i="17"/>
  <c r="L15" i="17"/>
  <c r="K15" i="17"/>
  <c r="J15" i="17"/>
  <c r="N14" i="17"/>
  <c r="M14" i="17"/>
  <c r="L14" i="17"/>
  <c r="K14" i="17"/>
  <c r="J14" i="17"/>
  <c r="N13" i="17"/>
  <c r="M13" i="17"/>
  <c r="L13" i="17"/>
  <c r="K13" i="17"/>
  <c r="J13" i="17"/>
  <c r="N12" i="17"/>
  <c r="M12" i="17"/>
  <c r="L12" i="17"/>
  <c r="K12" i="17"/>
  <c r="J12" i="17"/>
  <c r="N11" i="17"/>
  <c r="M11" i="17"/>
  <c r="L11" i="17"/>
  <c r="K11" i="17"/>
  <c r="J11" i="17"/>
  <c r="N10" i="17"/>
  <c r="M10" i="17"/>
  <c r="L10" i="17"/>
  <c r="K10" i="17"/>
  <c r="J10" i="17"/>
  <c r="N17" i="9"/>
  <c r="M17" i="9"/>
  <c r="L17" i="9"/>
  <c r="K17" i="9"/>
  <c r="J17" i="9"/>
  <c r="N16" i="9"/>
  <c r="M16" i="9"/>
  <c r="L16" i="9"/>
  <c r="K16" i="9"/>
  <c r="J16" i="9"/>
  <c r="N15" i="9"/>
  <c r="M15" i="9"/>
  <c r="L15" i="9"/>
  <c r="K15" i="9"/>
  <c r="J15" i="9"/>
  <c r="N14" i="9"/>
  <c r="M14" i="9"/>
  <c r="L14" i="9"/>
  <c r="K14" i="9"/>
  <c r="J14" i="9"/>
  <c r="N13" i="9"/>
  <c r="M13" i="9"/>
  <c r="L13" i="9"/>
  <c r="K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J8" i="9"/>
  <c r="N7" i="9"/>
  <c r="M7" i="9"/>
  <c r="L7" i="9"/>
  <c r="K7" i="9"/>
  <c r="J7" i="9"/>
  <c r="N6" i="9"/>
  <c r="M6" i="9"/>
  <c r="L6" i="9"/>
  <c r="K6" i="9"/>
  <c r="J6" i="9"/>
  <c r="J17" i="16"/>
  <c r="J16" i="16"/>
  <c r="J15" i="16"/>
  <c r="J14" i="16"/>
  <c r="J13" i="16"/>
  <c r="J12" i="16"/>
  <c r="J11" i="16"/>
  <c r="J10" i="16"/>
  <c r="J9" i="16"/>
  <c r="J8" i="16"/>
  <c r="J7" i="16"/>
  <c r="J6" i="16"/>
  <c r="J9" i="17"/>
  <c r="J8" i="17"/>
  <c r="J7" i="17"/>
  <c r="J6" i="17"/>
  <c r="N17" i="16"/>
  <c r="M17" i="16"/>
  <c r="L17" i="16"/>
  <c r="K17" i="16"/>
  <c r="N16" i="16"/>
  <c r="M16" i="16"/>
  <c r="L16" i="16"/>
  <c r="K16" i="16"/>
  <c r="N15" i="16"/>
  <c r="M15" i="16"/>
  <c r="L15" i="16"/>
  <c r="K15" i="16"/>
  <c r="N14" i="16"/>
  <c r="M14" i="16"/>
  <c r="L14" i="16"/>
  <c r="K14" i="16"/>
  <c r="N13" i="16"/>
  <c r="M13" i="16"/>
  <c r="L13" i="16"/>
  <c r="K13" i="16"/>
  <c r="N12" i="16"/>
  <c r="M12" i="16"/>
  <c r="L12" i="16"/>
  <c r="K12" i="16"/>
  <c r="N11" i="16"/>
  <c r="M11" i="16"/>
  <c r="L11" i="16"/>
  <c r="K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9" i="17"/>
  <c r="M9" i="17"/>
  <c r="L9" i="17"/>
  <c r="K9" i="17"/>
  <c r="N8" i="17"/>
  <c r="M8" i="17"/>
  <c r="L8" i="17"/>
  <c r="K8" i="17"/>
  <c r="N7" i="17"/>
  <c r="M7" i="17"/>
  <c r="L7" i="17"/>
  <c r="K7" i="17"/>
  <c r="N6" i="17"/>
  <c r="M6" i="17"/>
  <c r="L6" i="17"/>
  <c r="K6" i="17"/>
</calcChain>
</file>

<file path=xl/sharedStrings.xml><?xml version="1.0" encoding="utf-8"?>
<sst xmlns="http://schemas.openxmlformats.org/spreadsheetml/2006/main" count="363" uniqueCount="98">
  <si>
    <t xml:space="preserve">METRICS </t>
  </si>
  <si>
    <t xml:space="preserve">Via Count </t>
  </si>
  <si>
    <t xml:space="preserve">Runtime(ms) </t>
  </si>
  <si>
    <t>Wirelength(um)</t>
  </si>
  <si>
    <t>Wirelenght(um)</t>
  </si>
  <si>
    <t>AES</t>
  </si>
  <si>
    <t>FastRoute</t>
  </si>
  <si>
    <t>CUGR</t>
  </si>
  <si>
    <t>SPRoute</t>
  </si>
  <si>
    <t>ibex</t>
  </si>
  <si>
    <t>Jpeg</t>
  </si>
  <si>
    <t>[ DR Metrics ]</t>
  </si>
  <si>
    <t>[ GR Metrics ]</t>
  </si>
  <si>
    <t xml:space="preserve">Design </t>
  </si>
  <si>
    <t>[ GR via count % improvement ]</t>
  </si>
  <si>
    <t>[ DR wirelength % improvement ]</t>
  </si>
  <si>
    <t>[ DR via count % improvement ]</t>
  </si>
  <si>
    <t>Runtime Improvement</t>
  </si>
  <si>
    <t>-</t>
  </si>
  <si>
    <t xml:space="preserve">[DR Runtime] </t>
  </si>
  <si>
    <t xml:space="preserve">[ DR Runtime] </t>
  </si>
  <si>
    <t>[ DR Runtime ]</t>
  </si>
  <si>
    <t>5:19.41</t>
  </si>
  <si>
    <t>6:41.46</t>
  </si>
  <si>
    <t xml:space="preserve"> [ DR Runtime ]</t>
  </si>
  <si>
    <t>[hh]:mm.ss</t>
  </si>
  <si>
    <t>5:18.52</t>
  </si>
  <si>
    <t>5:21.91</t>
  </si>
  <si>
    <t>5:51.16</t>
  </si>
  <si>
    <t>8:20.74</t>
  </si>
  <si>
    <t>9:55.04</t>
  </si>
  <si>
    <t>10:40.80</t>
  </si>
  <si>
    <t>14:31.40</t>
  </si>
  <si>
    <t>15:09.83</t>
  </si>
  <si>
    <t>11:05.18</t>
  </si>
  <si>
    <t>9:11.61</t>
  </si>
  <si>
    <t>9:26.39</t>
  </si>
  <si>
    <t>12:27.02</t>
  </si>
  <si>
    <t>NA</t>
  </si>
  <si>
    <t>[ GR Wirelength % improvement]</t>
  </si>
  <si>
    <t>23:31.58</t>
  </si>
  <si>
    <t>22:55.23</t>
  </si>
  <si>
    <t>25:47.49</t>
  </si>
  <si>
    <t>46:20.55</t>
  </si>
  <si>
    <t>51:56.00</t>
  </si>
  <si>
    <t>1:11:37</t>
  </si>
  <si>
    <t>1:23:08</t>
  </si>
  <si>
    <t>1:09:27</t>
  </si>
  <si>
    <t>1:10:42</t>
  </si>
  <si>
    <t>1:48:29</t>
  </si>
  <si>
    <t>28:05.88</t>
  </si>
  <si>
    <t>24:42.14</t>
  </si>
  <si>
    <t>24:19.96</t>
  </si>
  <si>
    <t>45:14.55</t>
  </si>
  <si>
    <t>53:02.77</t>
  </si>
  <si>
    <t>1:12:01</t>
  </si>
  <si>
    <t>49:35.76</t>
  </si>
  <si>
    <t>1:26:49</t>
  </si>
  <si>
    <t>1:04:18</t>
  </si>
  <si>
    <t>1:17:34</t>
  </si>
  <si>
    <t>1:22:28</t>
  </si>
  <si>
    <t>28:48.70</t>
  </si>
  <si>
    <t>23:56.09</t>
  </si>
  <si>
    <t>24:33.27</t>
  </si>
  <si>
    <t>44:02.22</t>
  </si>
  <si>
    <t>49:40.60</t>
  </si>
  <si>
    <t>1:08:32</t>
  </si>
  <si>
    <t>49:12.73</t>
  </si>
  <si>
    <t>1:23:15</t>
  </si>
  <si>
    <t>59:58.90</t>
  </si>
  <si>
    <t>1:05:56</t>
  </si>
  <si>
    <t>1:28:35</t>
  </si>
  <si>
    <t>4:37.92</t>
  </si>
  <si>
    <t>3:58.49</t>
  </si>
  <si>
    <t>4:43.14</t>
  </si>
  <si>
    <t>4:19.33</t>
  </si>
  <si>
    <t>21:03.02</t>
  </si>
  <si>
    <t>20:58.30</t>
  </si>
  <si>
    <t>26:33.41</t>
  </si>
  <si>
    <t>30:04.86</t>
  </si>
  <si>
    <t>15:43.48</t>
  </si>
  <si>
    <t>14:51.15</t>
  </si>
  <si>
    <t>14:28.16</t>
  </si>
  <si>
    <t>14:34.31</t>
  </si>
  <si>
    <t>8:30.85</t>
  </si>
  <si>
    <t>6:56.32</t>
  </si>
  <si>
    <t>9:03.36</t>
  </si>
  <si>
    <t>14:52.37</t>
  </si>
  <si>
    <t>14:09.95</t>
  </si>
  <si>
    <t>25:13.48</t>
  </si>
  <si>
    <t>21:30.92</t>
  </si>
  <si>
    <t>30:16.78</t>
  </si>
  <si>
    <t>21:08.98</t>
  </si>
  <si>
    <t>17:39.62</t>
  </si>
  <si>
    <t>19:54.50</t>
  </si>
  <si>
    <t>DRC/DRV's</t>
  </si>
  <si>
    <t>vs. baseline</t>
  </si>
  <si>
    <t xml:space="preserve">NEWGR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</si>
</sst>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[Red]\-0.0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JetBrains Mono Light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rgb="FFA6B2C0"/>
      <name val="JetBrains Mono Light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/>
    <xf numFmtId="0" fontId="0" fillId="0" borderId="8" xfId="0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164" fontId="0" fillId="0" borderId="10" xfId="1" applyNumberFormat="1" applyFont="1" applyBorder="1"/>
    <xf numFmtId="0" fontId="0" fillId="0" borderId="11" xfId="0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164" fontId="0" fillId="0" borderId="1" xfId="1" applyNumberFormat="1" applyFont="1" applyBorder="1"/>
    <xf numFmtId="164" fontId="0" fillId="0" borderId="4" xfId="1" applyNumberFormat="1" applyFont="1" applyBorder="1"/>
    <xf numFmtId="164" fontId="0" fillId="0" borderId="6" xfId="1" applyNumberFormat="1" applyFont="1" applyBorder="1"/>
    <xf numFmtId="0" fontId="3" fillId="0" borderId="0" xfId="0" applyFont="1"/>
    <xf numFmtId="0" fontId="3" fillId="0" borderId="2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164" fontId="4" fillId="0" borderId="10" xfId="1" applyNumberFormat="1" applyFont="1" applyBorder="1"/>
    <xf numFmtId="164" fontId="4" fillId="0" borderId="11" xfId="1" applyNumberFormat="1" applyFont="1" applyBorder="1"/>
    <xf numFmtId="0" fontId="0" fillId="0" borderId="0" xfId="0" applyAlignment="1">
      <alignment horizontal="center"/>
    </xf>
    <xf numFmtId="164" fontId="0" fillId="0" borderId="0" xfId="1" applyNumberFormat="1" applyFont="1" applyBorder="1"/>
    <xf numFmtId="0" fontId="2" fillId="0" borderId="11" xfId="0" applyFont="1" applyBorder="1"/>
    <xf numFmtId="0" fontId="3" fillId="0" borderId="3" xfId="0" applyFont="1" applyBorder="1"/>
    <xf numFmtId="164" fontId="2" fillId="0" borderId="10" xfId="1" applyNumberFormat="1" applyFont="1" applyBorder="1"/>
    <xf numFmtId="49" fontId="0" fillId="0" borderId="0" xfId="0" applyNumberFormat="1"/>
    <xf numFmtId="164" fontId="0" fillId="0" borderId="3" xfId="1" applyNumberFormat="1" applyFont="1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1" fontId="0" fillId="0" borderId="0" xfId="1" applyNumberFormat="1" applyFont="1" applyAlignment="1">
      <alignment vertical="center"/>
    </xf>
    <xf numFmtId="1" fontId="0" fillId="0" borderId="0" xfId="1" applyNumberFormat="1" applyFont="1"/>
    <xf numFmtId="1" fontId="0" fillId="0" borderId="9" xfId="1" applyNumberFormat="1" applyFont="1" applyBorder="1" applyAlignment="1">
      <alignment vertical="center"/>
    </xf>
    <xf numFmtId="1" fontId="0" fillId="0" borderId="9" xfId="1" applyNumberFormat="1" applyFont="1" applyBorder="1"/>
    <xf numFmtId="1" fontId="0" fillId="0" borderId="10" xfId="1" applyNumberFormat="1" applyFont="1" applyBorder="1" applyAlignment="1">
      <alignment vertical="center"/>
    </xf>
    <xf numFmtId="1" fontId="0" fillId="0" borderId="10" xfId="1" applyNumberFormat="1" applyFont="1" applyBorder="1"/>
    <xf numFmtId="1" fontId="0" fillId="0" borderId="4" xfId="1" applyNumberFormat="1" applyFont="1" applyBorder="1"/>
    <xf numFmtId="1" fontId="0" fillId="0" borderId="6" xfId="1" applyNumberFormat="1" applyFont="1" applyBorder="1"/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" fontId="3" fillId="0" borderId="4" xfId="0" applyNumberFormat="1" applyFont="1" applyBorder="1"/>
    <xf numFmtId="1" fontId="3" fillId="0" borderId="6" xfId="0" applyNumberFormat="1" applyFont="1" applyBorder="1"/>
    <xf numFmtId="1" fontId="0" fillId="0" borderId="0" xfId="0" applyNumberFormat="1"/>
    <xf numFmtId="1" fontId="0" fillId="0" borderId="1" xfId="1" applyNumberFormat="1" applyFont="1" applyBorder="1"/>
    <xf numFmtId="1" fontId="3" fillId="0" borderId="5" xfId="1" applyNumberFormat="1" applyFont="1" applyBorder="1" applyAlignment="1">
      <alignment horizontal="center"/>
    </xf>
    <xf numFmtId="1" fontId="3" fillId="0" borderId="3" xfId="1" applyNumberFormat="1" applyFont="1" applyBorder="1" applyAlignment="1">
      <alignment horizontal="center"/>
    </xf>
    <xf numFmtId="1" fontId="3" fillId="0" borderId="8" xfId="1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3" fillId="0" borderId="9" xfId="1" applyNumberFormat="1" applyFont="1" applyBorder="1" applyAlignment="1">
      <alignment horizontal="center"/>
    </xf>
    <xf numFmtId="49" fontId="3" fillId="0" borderId="10" xfId="1" applyNumberFormat="1" applyFont="1" applyBorder="1" applyAlignment="1">
      <alignment horizontal="center"/>
    </xf>
    <xf numFmtId="49" fontId="3" fillId="0" borderId="11" xfId="1" applyNumberFormat="1" applyFont="1" applyBorder="1" applyAlignment="1">
      <alignment horizontal="center"/>
    </xf>
    <xf numFmtId="1" fontId="3" fillId="0" borderId="1" xfId="0" applyNumberFormat="1" applyFont="1" applyBorder="1"/>
    <xf numFmtId="49" fontId="3" fillId="0" borderId="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/>
    </xf>
    <xf numFmtId="47" fontId="3" fillId="0" borderId="11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7" fontId="3" fillId="0" borderId="10" xfId="0" applyNumberFormat="1" applyFont="1" applyBorder="1" applyAlignment="1">
      <alignment horizontal="center"/>
    </xf>
    <xf numFmtId="21" fontId="3" fillId="0" borderId="10" xfId="0" applyNumberFormat="1" applyFont="1" applyBorder="1" applyAlignment="1">
      <alignment horizontal="center"/>
    </xf>
    <xf numFmtId="21" fontId="3" fillId="0" borderId="9" xfId="0" applyNumberFormat="1" applyFont="1" applyBorder="1" applyAlignment="1">
      <alignment horizontal="center"/>
    </xf>
    <xf numFmtId="21" fontId="3" fillId="0" borderId="11" xfId="0" applyNumberFormat="1" applyFont="1" applyBorder="1" applyAlignment="1">
      <alignment horizontal="center"/>
    </xf>
    <xf numFmtId="47" fontId="3" fillId="0" borderId="9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9" fontId="3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0" fillId="0" borderId="2" xfId="1" applyNumberFormat="1" applyFont="1" applyBorder="1"/>
    <xf numFmtId="164" fontId="0" fillId="0" borderId="7" xfId="1" applyNumberFormat="1" applyFont="1" applyBorder="1"/>
    <xf numFmtId="164" fontId="7" fillId="0" borderId="9" xfId="1" applyNumberFormat="1" applyFont="1" applyBorder="1"/>
    <xf numFmtId="1" fontId="0" fillId="0" borderId="0" xfId="1" applyNumberFormat="1" applyFont="1" applyBorder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9" xfId="1" applyNumberFormat="1" applyFont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 vertical="center"/>
    </xf>
    <xf numFmtId="1" fontId="0" fillId="0" borderId="1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9" xfId="1" applyNumberFormat="1" applyFont="1" applyBorder="1" applyAlignment="1">
      <alignment horizontal="center" vertical="center"/>
    </xf>
    <xf numFmtId="49" fontId="0" fillId="0" borderId="1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vertical="center"/>
    </xf>
    <xf numFmtId="1" fontId="0" fillId="0" borderId="7" xfId="1" applyNumberFormat="1" applyFont="1" applyBorder="1" applyAlignment="1">
      <alignment horizontal="center" vertical="center"/>
    </xf>
    <xf numFmtId="1" fontId="0" fillId="0" borderId="3" xfId="1" applyNumberFormat="1" applyFont="1" applyBorder="1" applyAlignment="1">
      <alignment horizontal="center" vertical="center"/>
    </xf>
    <xf numFmtId="1" fontId="0" fillId="0" borderId="8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" fontId="0" fillId="0" borderId="0" xfId="1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6F5B-8677-6A4C-A64A-92F5B91D3F8E}">
  <dimension ref="A2:Q54"/>
  <sheetViews>
    <sheetView zoomScale="106" workbookViewId="0">
      <selection activeCell="C17" sqref="C17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4.5" style="50" bestFit="1" customWidth="1"/>
    <col min="5" max="5" width="13.1640625" bestFit="1" customWidth="1"/>
    <col min="6" max="6" width="12" bestFit="1" customWidth="1"/>
    <col min="7" max="7" width="13.83203125" bestFit="1" customWidth="1"/>
    <col min="8" max="8" width="14.5" bestFit="1" customWidth="1"/>
    <col min="9" max="9" width="13.1640625" style="30" bestFit="1" customWidth="1"/>
    <col min="10" max="10" width="27.5" style="30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2" spans="2:16" x14ac:dyDescent="0.2">
      <c r="B2" s="34"/>
      <c r="C2" s="35"/>
      <c r="D2" s="117" t="s">
        <v>12</v>
      </c>
      <c r="E2" s="118"/>
      <c r="F2" s="123"/>
      <c r="G2" s="117" t="s">
        <v>11</v>
      </c>
      <c r="H2" s="118"/>
      <c r="I2" s="112" t="s">
        <v>19</v>
      </c>
      <c r="J2" s="102" t="s">
        <v>39</v>
      </c>
      <c r="K2" s="114" t="s">
        <v>14</v>
      </c>
      <c r="L2" s="102" t="s">
        <v>15</v>
      </c>
      <c r="M2" s="107" t="s">
        <v>16</v>
      </c>
      <c r="N2" s="9" t="s">
        <v>17</v>
      </c>
      <c r="O2" s="95" t="s">
        <v>95</v>
      </c>
      <c r="P2" s="96"/>
    </row>
    <row r="3" spans="2:16" x14ac:dyDescent="0.2">
      <c r="B3" s="34"/>
      <c r="C3" s="35"/>
      <c r="D3" s="121"/>
      <c r="E3" s="122"/>
      <c r="F3" s="124"/>
      <c r="G3" s="121"/>
      <c r="H3" s="122"/>
      <c r="I3" s="113"/>
      <c r="J3" s="103"/>
      <c r="K3" s="115"/>
      <c r="L3" s="103"/>
      <c r="M3" s="108"/>
      <c r="N3" s="12" t="s">
        <v>96</v>
      </c>
      <c r="O3" s="97"/>
      <c r="P3" s="98"/>
    </row>
    <row r="4" spans="2:16" x14ac:dyDescent="0.2">
      <c r="B4" s="36" t="s">
        <v>13</v>
      </c>
      <c r="C4" s="51" t="s">
        <v>0</v>
      </c>
      <c r="D4" s="109" t="s">
        <v>3</v>
      </c>
      <c r="E4" s="94" t="s">
        <v>1</v>
      </c>
      <c r="F4" s="116" t="s">
        <v>2</v>
      </c>
      <c r="G4" s="117" t="s">
        <v>4</v>
      </c>
      <c r="H4" s="118" t="s">
        <v>1</v>
      </c>
      <c r="I4" s="119" t="s">
        <v>25</v>
      </c>
      <c r="J4" s="110"/>
      <c r="K4" s="2"/>
      <c r="L4" s="10"/>
      <c r="M4" s="7"/>
      <c r="N4" s="10"/>
      <c r="O4" s="7"/>
      <c r="P4" s="2"/>
    </row>
    <row r="5" spans="2:16" x14ac:dyDescent="0.2">
      <c r="B5" s="38"/>
      <c r="C5" s="40"/>
      <c r="D5" s="109"/>
      <c r="E5" s="94"/>
      <c r="F5" s="116"/>
      <c r="G5" s="109"/>
      <c r="H5" s="94"/>
      <c r="I5" s="120"/>
      <c r="J5" s="111"/>
      <c r="K5" s="3"/>
      <c r="L5" s="12"/>
      <c r="M5" s="8"/>
      <c r="N5" s="10"/>
      <c r="O5" s="7"/>
      <c r="P5" s="2"/>
    </row>
    <row r="6" spans="2:16" ht="19" x14ac:dyDescent="0.25">
      <c r="B6" s="104" t="s">
        <v>5</v>
      </c>
      <c r="C6" s="51" t="s">
        <v>6</v>
      </c>
      <c r="D6" s="55">
        <v>1079208</v>
      </c>
      <c r="E6" s="56">
        <v>127673</v>
      </c>
      <c r="F6" s="57">
        <v>5331</v>
      </c>
      <c r="G6" s="58">
        <v>780191</v>
      </c>
      <c r="H6" s="56">
        <v>123022</v>
      </c>
      <c r="I6" s="76" t="s">
        <v>26</v>
      </c>
      <c r="J6" s="13">
        <f>(D6-D6)/D6</f>
        <v>0</v>
      </c>
      <c r="K6" s="13">
        <f>(E6-E6)/E6</f>
        <v>0</v>
      </c>
      <c r="L6" s="13">
        <f>(G6-G6)/G6</f>
        <v>0</v>
      </c>
      <c r="M6" s="15">
        <f>(H6-H6)/H6</f>
        <v>0</v>
      </c>
      <c r="N6" s="13">
        <f>(F6-F6)/F6</f>
        <v>0</v>
      </c>
      <c r="O6" s="7"/>
      <c r="P6" s="2"/>
    </row>
    <row r="7" spans="2:16" ht="19" x14ac:dyDescent="0.25">
      <c r="B7" s="105"/>
      <c r="C7" s="40" t="s">
        <v>7</v>
      </c>
      <c r="D7" s="59">
        <v>1199599</v>
      </c>
      <c r="E7" s="60">
        <v>126129</v>
      </c>
      <c r="F7" s="61">
        <v>2090</v>
      </c>
      <c r="G7" s="62">
        <v>836847</v>
      </c>
      <c r="H7" s="60">
        <v>126593</v>
      </c>
      <c r="I7" s="74" t="s">
        <v>27</v>
      </c>
      <c r="J7" s="11">
        <f>(D6-D7)/D6</f>
        <v>-0.11155495511523265</v>
      </c>
      <c r="K7" s="11">
        <f>(E6-E7)/E6</f>
        <v>1.2093394844642173E-2</v>
      </c>
      <c r="L7" s="11">
        <f>(G6-G7)/G6</f>
        <v>-7.2618115307661837E-2</v>
      </c>
      <c r="M7" s="16">
        <f>(H6-H7)/H6</f>
        <v>-2.9027328445318724E-2</v>
      </c>
      <c r="N7" s="11">
        <f>(F6-F7)/F6</f>
        <v>0.6079534796473457</v>
      </c>
      <c r="O7" s="7"/>
      <c r="P7" s="2"/>
    </row>
    <row r="8" spans="2:16" ht="19" x14ac:dyDescent="0.25">
      <c r="B8" s="105"/>
      <c r="C8" s="40" t="s">
        <v>8</v>
      </c>
      <c r="D8" s="59">
        <v>1096175</v>
      </c>
      <c r="E8" s="60">
        <v>103148</v>
      </c>
      <c r="F8" s="61">
        <v>1407</v>
      </c>
      <c r="G8" s="62">
        <v>780738</v>
      </c>
      <c r="H8" s="60">
        <v>126799</v>
      </c>
      <c r="I8" s="74" t="s">
        <v>28</v>
      </c>
      <c r="J8" s="11">
        <f>(D6-D8)/D6</f>
        <v>-1.5721714442442976E-2</v>
      </c>
      <c r="K8" s="11">
        <f>(E6-E8)/E6</f>
        <v>0.19209229829329616</v>
      </c>
      <c r="L8" s="11">
        <f>(G6-G8)/G6</f>
        <v>-7.011103691275598E-4</v>
      </c>
      <c r="M8" s="16">
        <f>(H6-H8)/H6</f>
        <v>-3.0701825689714034E-2</v>
      </c>
      <c r="N8" s="11">
        <f>(F6-F8)/F6</f>
        <v>0.73607203151378731</v>
      </c>
      <c r="O8" s="7"/>
      <c r="P8" s="2"/>
    </row>
    <row r="9" spans="2:16" ht="19" x14ac:dyDescent="0.25">
      <c r="B9" s="106"/>
      <c r="C9" s="41" t="s">
        <v>97</v>
      </c>
      <c r="D9" s="59">
        <v>1057652</v>
      </c>
      <c r="E9" s="60">
        <v>121205</v>
      </c>
      <c r="F9" s="61">
        <v>31142</v>
      </c>
      <c r="G9" s="66">
        <v>773797</v>
      </c>
      <c r="H9" s="64">
        <v>126851</v>
      </c>
      <c r="I9" s="77" t="s">
        <v>29</v>
      </c>
      <c r="J9" s="14">
        <f>(D6-D9)/D6</f>
        <v>1.9973906790905924E-2</v>
      </c>
      <c r="K9" s="14">
        <f>(E6-E9)/E6</f>
        <v>5.0660672185975107E-2</v>
      </c>
      <c r="L9" s="14">
        <f>(G6-G9)/G6</f>
        <v>8.1954290680102699E-3</v>
      </c>
      <c r="M9" s="17">
        <f>(H6-H9)/H6</f>
        <v>-3.1124514314512852E-2</v>
      </c>
      <c r="N9" s="14">
        <f>(F6-F9)/F6</f>
        <v>-4.8416807353217033</v>
      </c>
      <c r="O9" s="7"/>
      <c r="P9" s="2"/>
    </row>
    <row r="10" spans="2:16" ht="19" x14ac:dyDescent="0.25">
      <c r="B10" s="104" t="s">
        <v>9</v>
      </c>
      <c r="C10" s="40" t="s">
        <v>6</v>
      </c>
      <c r="D10" s="42">
        <v>915871</v>
      </c>
      <c r="E10" s="43">
        <v>121205</v>
      </c>
      <c r="F10" s="53">
        <v>3596</v>
      </c>
      <c r="G10" s="44">
        <v>652211</v>
      </c>
      <c r="H10" s="45">
        <v>128555</v>
      </c>
      <c r="I10" s="68" t="s">
        <v>30</v>
      </c>
      <c r="J10" s="13">
        <f>(D10-D10)/D10</f>
        <v>0</v>
      </c>
      <c r="K10" s="13">
        <f>(E10-E10)/E10</f>
        <v>0</v>
      </c>
      <c r="L10" s="13">
        <f>(G10-G10)/G10</f>
        <v>0</v>
      </c>
      <c r="M10" s="15">
        <f>(H10-H10)/H10</f>
        <v>0</v>
      </c>
      <c r="N10" s="13">
        <f>(F10-F10)/F10</f>
        <v>0</v>
      </c>
      <c r="O10" s="7"/>
      <c r="P10" s="2"/>
    </row>
    <row r="11" spans="2:16" ht="19" x14ac:dyDescent="0.25">
      <c r="B11" s="105"/>
      <c r="C11" s="40" t="s">
        <v>7</v>
      </c>
      <c r="D11" s="44">
        <v>950633</v>
      </c>
      <c r="E11" s="45">
        <v>116616</v>
      </c>
      <c r="F11" s="52">
        <v>1368</v>
      </c>
      <c r="G11" s="44">
        <v>672407</v>
      </c>
      <c r="H11" s="45">
        <v>130223</v>
      </c>
      <c r="I11" s="68" t="s">
        <v>31</v>
      </c>
      <c r="J11" s="11">
        <f>(D10-D11)/D10</f>
        <v>-3.7955126868303504E-2</v>
      </c>
      <c r="K11" s="11">
        <f>(E10-E11)/E10</f>
        <v>3.7861474361618748E-2</v>
      </c>
      <c r="L11" s="11">
        <f>(G10-G11)/G10</f>
        <v>-3.0965439098696586E-2</v>
      </c>
      <c r="M11" s="16">
        <f>(H10-H11)/H10</f>
        <v>-1.2974991248881802E-2</v>
      </c>
      <c r="N11" s="11">
        <f>(F10-F11)/F10</f>
        <v>0.61957730812013345</v>
      </c>
      <c r="O11" s="7"/>
      <c r="P11" s="2"/>
    </row>
    <row r="12" spans="2:16" ht="19" x14ac:dyDescent="0.25">
      <c r="B12" s="105"/>
      <c r="C12" s="40" t="s">
        <v>8</v>
      </c>
      <c r="D12" s="44" t="s">
        <v>18</v>
      </c>
      <c r="E12" s="45">
        <v>103138</v>
      </c>
      <c r="F12" s="52">
        <v>1625</v>
      </c>
      <c r="G12" s="44">
        <v>683369</v>
      </c>
      <c r="H12" s="45">
        <v>133017</v>
      </c>
      <c r="I12" s="68" t="s">
        <v>32</v>
      </c>
      <c r="J12" s="11" t="e">
        <f>(D10-D12)/D10</f>
        <v>#VALUE!</v>
      </c>
      <c r="K12" s="11">
        <f>(E10-E12)/E10</f>
        <v>0.14906150736355761</v>
      </c>
      <c r="L12" s="11">
        <f>(G10-G12)/G10</f>
        <v>-4.7772883315368803E-2</v>
      </c>
      <c r="M12" s="16">
        <f>(H10-H12)/H10</f>
        <v>-3.4708879467932011E-2</v>
      </c>
      <c r="N12" s="11">
        <f>(F10-F12)/F10</f>
        <v>0.54810901001112344</v>
      </c>
      <c r="O12" s="7"/>
      <c r="P12" s="2"/>
    </row>
    <row r="13" spans="2:16" ht="19" x14ac:dyDescent="0.25">
      <c r="B13" s="106"/>
      <c r="C13" s="41" t="s">
        <v>97</v>
      </c>
      <c r="D13" s="46">
        <v>926380</v>
      </c>
      <c r="E13" s="47">
        <v>116616</v>
      </c>
      <c r="F13" s="54">
        <v>10466</v>
      </c>
      <c r="G13" s="44">
        <v>657020</v>
      </c>
      <c r="H13" s="45">
        <v>131791</v>
      </c>
      <c r="I13" s="68" t="s">
        <v>33</v>
      </c>
      <c r="J13" s="14">
        <f>(D10-D13)/D10</f>
        <v>-1.1474323349030594E-2</v>
      </c>
      <c r="K13" s="14">
        <f>(E10-E13)/E10</f>
        <v>3.7861474361618748E-2</v>
      </c>
      <c r="L13" s="14">
        <f>(G10-G13)/G10</f>
        <v>-7.3733807004175032E-3</v>
      </c>
      <c r="M13" s="17">
        <f>(H10-H13)/H10</f>
        <v>-2.517210532456925E-2</v>
      </c>
      <c r="N13" s="14">
        <f>(F10-F13)/F10</f>
        <v>-1.9104560622914348</v>
      </c>
      <c r="O13" s="7"/>
      <c r="P13" s="2"/>
    </row>
    <row r="14" spans="2:16" ht="19" x14ac:dyDescent="0.25">
      <c r="B14" s="104" t="s">
        <v>10</v>
      </c>
      <c r="C14" s="51" t="s">
        <v>6</v>
      </c>
      <c r="D14" s="42">
        <v>1888668</v>
      </c>
      <c r="E14" s="43">
        <v>296478</v>
      </c>
      <c r="F14" s="53">
        <v>13399</v>
      </c>
      <c r="G14" s="42">
        <v>1254209</v>
      </c>
      <c r="H14" s="43">
        <v>287298</v>
      </c>
      <c r="I14" s="67" t="s">
        <v>34</v>
      </c>
      <c r="J14" s="13">
        <f>(D14-D14)/D14</f>
        <v>0</v>
      </c>
      <c r="K14" s="13">
        <f>(E14-E14)/E14</f>
        <v>0</v>
      </c>
      <c r="L14" s="13">
        <f>(G14-G14)/G14</f>
        <v>0</v>
      </c>
      <c r="M14" s="15">
        <f>(H14-H14)/H14</f>
        <v>0</v>
      </c>
      <c r="N14" s="13">
        <f>(F14-F14)/F14</f>
        <v>0</v>
      </c>
      <c r="O14" s="7"/>
      <c r="P14" s="2"/>
    </row>
    <row r="15" spans="2:16" ht="19" x14ac:dyDescent="0.25">
      <c r="B15" s="105"/>
      <c r="C15" s="40" t="s">
        <v>7</v>
      </c>
      <c r="D15" s="44">
        <v>1853257</v>
      </c>
      <c r="E15" s="45">
        <v>285070</v>
      </c>
      <c r="F15" s="52">
        <v>3340</v>
      </c>
      <c r="G15" s="44">
        <v>1249848</v>
      </c>
      <c r="H15" s="45">
        <v>288324</v>
      </c>
      <c r="I15" s="68" t="s">
        <v>35</v>
      </c>
      <c r="J15" s="11">
        <f>(D14-D15)/D14</f>
        <v>1.8749192552634977E-2</v>
      </c>
      <c r="K15" s="11">
        <f>(E14-E15)/E14</f>
        <v>3.8478403119287095E-2</v>
      </c>
      <c r="L15" s="11">
        <f>(G14-G15)/G14</f>
        <v>3.4770919360329897E-3</v>
      </c>
      <c r="M15" s="16">
        <f>(H14-H15)/H14</f>
        <v>-3.5712048117285886E-3</v>
      </c>
      <c r="N15" s="11">
        <f>(F14-F15)/F14</f>
        <v>0.75072766624374954</v>
      </c>
      <c r="O15" s="7"/>
      <c r="P15" s="2"/>
    </row>
    <row r="16" spans="2:16" ht="19" x14ac:dyDescent="0.25">
      <c r="B16" s="105"/>
      <c r="C16" s="40" t="s">
        <v>8</v>
      </c>
      <c r="D16" s="44">
        <v>1882727</v>
      </c>
      <c r="E16" s="45">
        <v>225116</v>
      </c>
      <c r="F16" s="52">
        <v>2624</v>
      </c>
      <c r="G16" s="44">
        <v>1246250</v>
      </c>
      <c r="H16" s="45">
        <v>292077</v>
      </c>
      <c r="I16" s="68" t="s">
        <v>36</v>
      </c>
      <c r="J16" s="11">
        <f>(D14-D16)/D14</f>
        <v>3.1456031446500921E-3</v>
      </c>
      <c r="K16" s="11">
        <f>(E14-E16)/E14</f>
        <v>0.24069914125162745</v>
      </c>
      <c r="L16" s="11">
        <f>(G14-G16)/G14</f>
        <v>6.345832313434204E-3</v>
      </c>
      <c r="M16" s="16">
        <f>(H14-H16)/H14</f>
        <v>-1.6634296096735793E-2</v>
      </c>
      <c r="N16" s="11">
        <f>(F14-F16)/F14</f>
        <v>0.80416448988730505</v>
      </c>
      <c r="O16" s="7"/>
      <c r="P16" s="2"/>
    </row>
    <row r="17" spans="1:17" ht="19" x14ac:dyDescent="0.25">
      <c r="B17" s="106"/>
      <c r="C17" s="41" t="s">
        <v>97</v>
      </c>
      <c r="D17" s="46">
        <v>1865870</v>
      </c>
      <c r="E17" s="64">
        <v>103138</v>
      </c>
      <c r="F17" s="54">
        <v>132848</v>
      </c>
      <c r="G17" s="46">
        <v>1245559</v>
      </c>
      <c r="H17" s="47">
        <v>289621</v>
      </c>
      <c r="I17" s="69" t="s">
        <v>37</v>
      </c>
      <c r="J17" s="14">
        <f>(D14-D17)/D14</f>
        <v>1.2070941001806564E-2</v>
      </c>
      <c r="K17" s="14">
        <f>(E14-E17)/E14</f>
        <v>0.65212258582424332</v>
      </c>
      <c r="L17" s="14">
        <f>(G14-G17)/G14</f>
        <v>6.896777171906756E-3</v>
      </c>
      <c r="M17" s="17">
        <f>(H14-H17)/H14</f>
        <v>-8.0856810698299326E-3</v>
      </c>
      <c r="N17" s="14">
        <f>(F14-F17)/F14</f>
        <v>-8.9147697589372346</v>
      </c>
      <c r="O17" s="7"/>
      <c r="P17" s="2"/>
    </row>
    <row r="18" spans="1:17" ht="19" customHeight="1" x14ac:dyDescent="0.2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</row>
    <row r="19" spans="1:17" ht="19" customHeight="1" x14ac:dyDescent="0.2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</row>
    <row r="20" spans="1:17" ht="19" customHeight="1" x14ac:dyDescent="0.2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</row>
    <row r="21" spans="1:17" ht="19" customHeight="1" x14ac:dyDescent="0.2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</row>
    <row r="22" spans="1:17" ht="19" customHeight="1" x14ac:dyDescent="0.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</row>
    <row r="23" spans="1:17" ht="19" customHeight="1" x14ac:dyDescent="0.2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</row>
    <row r="24" spans="1:17" ht="19" customHeight="1" x14ac:dyDescent="0.2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7" ht="19" customHeight="1" x14ac:dyDescent="0.2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7" x14ac:dyDescent="0.2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</row>
    <row r="27" spans="1:17" x14ac:dyDescent="0.2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</row>
    <row r="28" spans="1:17" x14ac:dyDescent="0.2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</row>
    <row r="30" spans="1:17" ht="22" x14ac:dyDescent="0.3">
      <c r="B30" s="83"/>
    </row>
    <row r="32" spans="1:17" ht="19" x14ac:dyDescent="0.25">
      <c r="B32" s="84"/>
    </row>
    <row r="33" spans="2:13" x14ac:dyDescent="0.2">
      <c r="B33" s="94"/>
      <c r="C33" s="94"/>
      <c r="D33" s="99"/>
      <c r="E33" s="100"/>
      <c r="F33" s="100"/>
      <c r="G33" s="100"/>
      <c r="H33" s="100"/>
      <c r="I33" s="101"/>
      <c r="J33" s="101"/>
      <c r="K33" s="100"/>
      <c r="L33" s="100"/>
      <c r="M33" s="100"/>
    </row>
    <row r="34" spans="2:13" x14ac:dyDescent="0.2">
      <c r="B34" s="94"/>
      <c r="C34" s="94"/>
      <c r="D34" s="99"/>
      <c r="E34" s="100"/>
      <c r="F34" s="100"/>
      <c r="G34" s="100"/>
      <c r="H34" s="100"/>
      <c r="I34" s="101"/>
      <c r="J34" s="101"/>
      <c r="K34" s="100"/>
      <c r="L34" s="100"/>
      <c r="M34" s="100"/>
    </row>
    <row r="35" spans="2:13" x14ac:dyDescent="0.2">
      <c r="B35" s="94"/>
      <c r="C35" s="91"/>
      <c r="D35" s="92"/>
      <c r="E35" s="25"/>
      <c r="F35" s="25"/>
      <c r="G35" s="25"/>
      <c r="H35" s="25"/>
      <c r="I35" s="93"/>
      <c r="J35" s="93"/>
      <c r="K35" s="25"/>
      <c r="L35" s="25"/>
      <c r="M35" s="25"/>
    </row>
    <row r="36" spans="2:13" x14ac:dyDescent="0.2">
      <c r="B36" s="94"/>
      <c r="C36" s="91"/>
      <c r="D36" s="92"/>
      <c r="E36" s="25"/>
      <c r="F36" s="25"/>
      <c r="G36" s="25"/>
      <c r="H36" s="25"/>
      <c r="I36" s="93"/>
      <c r="J36" s="93"/>
      <c r="K36" s="25"/>
      <c r="L36" s="25"/>
      <c r="M36" s="25"/>
    </row>
    <row r="37" spans="2:13" x14ac:dyDescent="0.2">
      <c r="B37" s="94"/>
      <c r="C37" s="91"/>
      <c r="D37" s="92"/>
      <c r="E37" s="25"/>
      <c r="F37" s="25"/>
      <c r="G37" s="25"/>
      <c r="H37" s="25"/>
      <c r="I37" s="93"/>
      <c r="J37" s="93"/>
      <c r="K37" s="25"/>
      <c r="L37" s="25"/>
      <c r="M37" s="25"/>
    </row>
    <row r="38" spans="2:13" x14ac:dyDescent="0.2">
      <c r="B38" s="94"/>
      <c r="C38" s="91"/>
      <c r="D38" s="92"/>
      <c r="E38" s="25"/>
      <c r="F38" s="25"/>
      <c r="G38" s="25"/>
      <c r="H38" s="25"/>
      <c r="I38" s="93"/>
      <c r="J38" s="93"/>
      <c r="K38" s="25"/>
      <c r="L38" s="25"/>
      <c r="M38" s="25"/>
    </row>
    <row r="39" spans="2:13" x14ac:dyDescent="0.2">
      <c r="B39" s="94"/>
      <c r="C39" s="91"/>
      <c r="D39" s="92"/>
      <c r="E39" s="25"/>
      <c r="F39" s="25"/>
      <c r="G39" s="25"/>
      <c r="H39" s="25"/>
      <c r="I39" s="93"/>
      <c r="J39" s="93"/>
      <c r="K39" s="25"/>
      <c r="L39" s="25"/>
      <c r="M39" s="25"/>
    </row>
    <row r="40" spans="2:13" x14ac:dyDescent="0.2">
      <c r="B40" s="94"/>
      <c r="C40" s="91"/>
      <c r="D40" s="92"/>
      <c r="E40" s="25"/>
      <c r="F40" s="25"/>
      <c r="G40" s="25"/>
      <c r="H40" s="25"/>
      <c r="I40" s="93"/>
      <c r="J40" s="93"/>
      <c r="K40" s="25"/>
      <c r="L40" s="25"/>
      <c r="M40" s="25"/>
    </row>
    <row r="41" spans="2:13" x14ac:dyDescent="0.2">
      <c r="B41" s="94"/>
      <c r="C41" s="91"/>
      <c r="D41" s="92"/>
      <c r="E41" s="25"/>
      <c r="F41" s="25"/>
      <c r="G41" s="25"/>
      <c r="H41" s="25"/>
      <c r="I41" s="93"/>
      <c r="J41" s="93"/>
      <c r="K41" s="25"/>
      <c r="L41" s="25"/>
      <c r="M41" s="25"/>
    </row>
    <row r="42" spans="2:13" x14ac:dyDescent="0.2">
      <c r="B42" s="94"/>
      <c r="C42" s="91"/>
      <c r="D42" s="92"/>
      <c r="E42" s="25"/>
      <c r="F42" s="25"/>
      <c r="G42" s="25"/>
      <c r="H42" s="25"/>
      <c r="I42" s="93"/>
      <c r="J42" s="93"/>
      <c r="K42" s="25"/>
      <c r="L42" s="25"/>
      <c r="M42" s="25"/>
    </row>
    <row r="43" spans="2:13" x14ac:dyDescent="0.2">
      <c r="B43" s="94"/>
      <c r="C43" s="91"/>
      <c r="D43" s="92"/>
      <c r="E43" s="25"/>
      <c r="F43" s="25"/>
      <c r="G43" s="25"/>
      <c r="H43" s="25"/>
      <c r="I43" s="93"/>
      <c r="J43" s="93"/>
      <c r="K43" s="25"/>
      <c r="L43" s="25"/>
      <c r="M43" s="25"/>
    </row>
    <row r="44" spans="2:13" x14ac:dyDescent="0.2">
      <c r="B44" s="94"/>
      <c r="C44" s="91"/>
      <c r="D44" s="92"/>
      <c r="E44" s="25"/>
      <c r="F44" s="25"/>
      <c r="G44" s="25"/>
      <c r="H44" s="25"/>
      <c r="I44" s="93"/>
      <c r="J44" s="93"/>
      <c r="K44" s="25"/>
      <c r="L44" s="25"/>
      <c r="M44" s="25"/>
    </row>
    <row r="45" spans="2:13" x14ac:dyDescent="0.2">
      <c r="B45" s="94"/>
      <c r="C45" s="91"/>
      <c r="D45" s="92"/>
      <c r="E45" s="25"/>
      <c r="F45" s="25"/>
      <c r="G45" s="25"/>
      <c r="H45" s="25"/>
      <c r="I45" s="93"/>
      <c r="J45" s="93"/>
      <c r="K45" s="25"/>
      <c r="L45" s="25"/>
      <c r="M45" s="25"/>
    </row>
    <row r="46" spans="2:13" x14ac:dyDescent="0.2">
      <c r="B46" s="94"/>
      <c r="C46" s="91"/>
      <c r="D46" s="92"/>
      <c r="E46" s="25"/>
      <c r="F46" s="25"/>
      <c r="G46" s="25"/>
      <c r="H46" s="25"/>
      <c r="I46" s="93"/>
      <c r="J46" s="93"/>
      <c r="K46" s="25"/>
      <c r="L46" s="25"/>
      <c r="M46" s="25"/>
    </row>
    <row r="47" spans="2:13" x14ac:dyDescent="0.2">
      <c r="B47" s="94"/>
      <c r="C47" s="91"/>
      <c r="D47" s="92"/>
      <c r="E47" s="25"/>
      <c r="F47" s="25"/>
      <c r="G47" s="25"/>
      <c r="H47" s="25"/>
      <c r="I47" s="93"/>
      <c r="J47" s="93"/>
      <c r="K47" s="25"/>
      <c r="L47" s="25"/>
      <c r="M47" s="25"/>
    </row>
    <row r="48" spans="2:13" x14ac:dyDescent="0.2">
      <c r="B48" s="94"/>
      <c r="C48" s="91"/>
      <c r="D48" s="92"/>
      <c r="E48" s="25"/>
      <c r="F48" s="25"/>
      <c r="G48" s="25"/>
      <c r="H48" s="25"/>
      <c r="I48" s="93"/>
      <c r="J48" s="93"/>
      <c r="K48" s="25"/>
      <c r="L48" s="25"/>
      <c r="M48" s="25"/>
    </row>
    <row r="49" spans="2:13" x14ac:dyDescent="0.2">
      <c r="B49" s="94"/>
      <c r="C49" s="91"/>
      <c r="D49" s="92"/>
      <c r="E49" s="25"/>
      <c r="F49" s="25"/>
      <c r="G49" s="25"/>
      <c r="H49" s="25"/>
      <c r="I49" s="93"/>
      <c r="J49" s="93"/>
      <c r="K49" s="25"/>
      <c r="L49" s="25"/>
      <c r="M49" s="25"/>
    </row>
    <row r="50" spans="2:13" x14ac:dyDescent="0.2">
      <c r="B50" s="94"/>
      <c r="C50" s="91"/>
      <c r="D50" s="92"/>
      <c r="E50" s="25"/>
      <c r="F50" s="25"/>
      <c r="G50" s="25"/>
      <c r="H50" s="25"/>
      <c r="I50" s="93"/>
      <c r="J50" s="93"/>
      <c r="K50" s="25"/>
      <c r="L50" s="25"/>
      <c r="M50" s="25"/>
    </row>
    <row r="51" spans="2:13" x14ac:dyDescent="0.2">
      <c r="B51" s="94"/>
      <c r="C51" s="91"/>
      <c r="D51" s="92"/>
      <c r="E51" s="25"/>
      <c r="F51" s="25"/>
      <c r="G51" s="25"/>
      <c r="H51" s="25"/>
      <c r="I51" s="93"/>
      <c r="J51" s="93"/>
      <c r="K51" s="25"/>
      <c r="L51" s="25"/>
      <c r="M51" s="25"/>
    </row>
    <row r="52" spans="2:13" x14ac:dyDescent="0.2">
      <c r="B52" s="94"/>
      <c r="C52" s="91"/>
      <c r="D52" s="92"/>
      <c r="E52" s="25"/>
      <c r="F52" s="25"/>
      <c r="G52" s="25"/>
      <c r="H52" s="25"/>
      <c r="I52" s="93"/>
      <c r="J52" s="93"/>
      <c r="K52" s="25"/>
      <c r="L52" s="25"/>
      <c r="M52" s="25"/>
    </row>
    <row r="53" spans="2:13" x14ac:dyDescent="0.2">
      <c r="B53" s="94"/>
      <c r="C53" s="91"/>
      <c r="D53" s="92"/>
      <c r="E53" s="25"/>
      <c r="F53" s="25"/>
      <c r="G53" s="25"/>
      <c r="H53" s="25"/>
      <c r="I53" s="93"/>
      <c r="J53" s="93"/>
      <c r="K53" s="25"/>
      <c r="L53" s="25"/>
      <c r="M53" s="25"/>
    </row>
    <row r="54" spans="2:13" x14ac:dyDescent="0.2">
      <c r="B54" s="94"/>
      <c r="C54" s="91"/>
      <c r="D54" s="92"/>
      <c r="E54" s="25"/>
      <c r="F54" s="25"/>
      <c r="G54" s="25"/>
      <c r="H54" s="25"/>
      <c r="I54" s="93"/>
      <c r="J54" s="93"/>
      <c r="K54" s="25"/>
      <c r="L54" s="25"/>
      <c r="M54" s="25"/>
    </row>
  </sheetData>
  <mergeCells count="35">
    <mergeCell ref="B6:B9"/>
    <mergeCell ref="B10:B13"/>
    <mergeCell ref="B14:B17"/>
    <mergeCell ref="G2:H3"/>
    <mergeCell ref="D2:F3"/>
    <mergeCell ref="J2:J3"/>
    <mergeCell ref="J4:J5"/>
    <mergeCell ref="I2:I3"/>
    <mergeCell ref="K2:K3"/>
    <mergeCell ref="E4:E5"/>
    <mergeCell ref="F4:F5"/>
    <mergeCell ref="G4:G5"/>
    <mergeCell ref="H4:H5"/>
    <mergeCell ref="I4:I5"/>
    <mergeCell ref="O2:P3"/>
    <mergeCell ref="B35:B38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L2:L3"/>
    <mergeCell ref="M2:M3"/>
    <mergeCell ref="D4:D5"/>
    <mergeCell ref="B39:B42"/>
    <mergeCell ref="B43:B46"/>
    <mergeCell ref="B47:B50"/>
    <mergeCell ref="B51:B54"/>
    <mergeCell ref="C33:C34"/>
    <mergeCell ref="B33:B34"/>
  </mergeCells>
  <conditionalFormatting sqref="J6:N17">
    <cfRule type="cellIs" dxfId="9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3C6C-E339-8743-B40B-9C2BF266996A}">
  <dimension ref="A2:P60"/>
  <sheetViews>
    <sheetView zoomScale="125" zoomScaleNormal="100" workbookViewId="0">
      <selection activeCell="D17" sqref="D17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5.6640625" bestFit="1" customWidth="1"/>
    <col min="5" max="5" width="14.33203125" bestFit="1" customWidth="1"/>
    <col min="6" max="6" width="12" bestFit="1" customWidth="1"/>
    <col min="7" max="8" width="14.33203125" bestFit="1" customWidth="1"/>
    <col min="9" max="9" width="14.33203125" style="30" bestFit="1" customWidth="1"/>
    <col min="10" max="10" width="27.5" style="30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2" spans="2:14" x14ac:dyDescent="0.2">
      <c r="B2" s="34"/>
      <c r="C2" s="35"/>
      <c r="D2" s="117" t="s">
        <v>12</v>
      </c>
      <c r="E2" s="118"/>
      <c r="F2" s="123"/>
      <c r="G2" s="117" t="s">
        <v>11</v>
      </c>
      <c r="H2" s="123"/>
      <c r="I2" s="112" t="s">
        <v>19</v>
      </c>
      <c r="J2" s="102" t="s">
        <v>39</v>
      </c>
      <c r="K2" s="102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34"/>
      <c r="C3" s="35"/>
      <c r="D3" s="121"/>
      <c r="E3" s="122"/>
      <c r="F3" s="124"/>
      <c r="G3" s="121"/>
      <c r="H3" s="124"/>
      <c r="I3" s="113"/>
      <c r="J3" s="103"/>
      <c r="K3" s="103"/>
      <c r="L3" s="103"/>
      <c r="M3" s="108"/>
      <c r="N3" s="12" t="s">
        <v>96</v>
      </c>
    </row>
    <row r="4" spans="2:14" x14ac:dyDescent="0.2">
      <c r="B4" s="36" t="s">
        <v>13</v>
      </c>
      <c r="C4" s="37" t="s">
        <v>0</v>
      </c>
      <c r="D4" s="109" t="s">
        <v>3</v>
      </c>
      <c r="E4" s="125" t="s">
        <v>1</v>
      </c>
      <c r="F4" s="94" t="s">
        <v>2</v>
      </c>
      <c r="G4" s="117" t="s">
        <v>4</v>
      </c>
      <c r="H4" s="118" t="s">
        <v>1</v>
      </c>
      <c r="I4" s="119" t="s">
        <v>25</v>
      </c>
      <c r="J4" s="110"/>
      <c r="K4" s="10"/>
      <c r="L4" s="10"/>
      <c r="M4" s="7"/>
      <c r="N4" s="10"/>
    </row>
    <row r="5" spans="2:14" x14ac:dyDescent="0.2">
      <c r="B5" s="38"/>
      <c r="C5" s="39"/>
      <c r="D5" s="121"/>
      <c r="E5" s="122"/>
      <c r="F5" s="122"/>
      <c r="G5" s="121"/>
      <c r="H5" s="122"/>
      <c r="I5" s="120"/>
      <c r="J5" s="111"/>
      <c r="K5" s="12"/>
      <c r="L5" s="12"/>
      <c r="M5" s="8"/>
      <c r="N5" s="10"/>
    </row>
    <row r="6" spans="2:14" ht="19" x14ac:dyDescent="0.25">
      <c r="B6" s="104" t="s">
        <v>5</v>
      </c>
      <c r="C6" s="37" t="s">
        <v>6</v>
      </c>
      <c r="D6" s="58">
        <v>1079208</v>
      </c>
      <c r="E6" s="56">
        <v>127673</v>
      </c>
      <c r="F6" s="56">
        <v>4040</v>
      </c>
      <c r="G6" s="58">
        <v>780191</v>
      </c>
      <c r="H6" s="56">
        <v>123022</v>
      </c>
      <c r="I6" s="76" t="s">
        <v>72</v>
      </c>
      <c r="J6" s="13">
        <f>(D6-D6)/D6</f>
        <v>0</v>
      </c>
      <c r="K6" s="13">
        <f>(E6-E6)/E6</f>
        <v>0</v>
      </c>
      <c r="L6" s="13">
        <f>(G6-G6)/G6</f>
        <v>0</v>
      </c>
      <c r="M6" s="15">
        <f>(H6-H6)/H6</f>
        <v>0</v>
      </c>
      <c r="N6" s="13">
        <f>(F6-F6)/F6</f>
        <v>0</v>
      </c>
    </row>
    <row r="7" spans="2:14" ht="19" x14ac:dyDescent="0.25">
      <c r="B7" s="105"/>
      <c r="C7" s="39" t="s">
        <v>7</v>
      </c>
      <c r="D7" s="62">
        <v>1199599</v>
      </c>
      <c r="E7" s="60">
        <v>126129</v>
      </c>
      <c r="F7" s="60">
        <v>2242</v>
      </c>
      <c r="G7" s="62">
        <v>836847</v>
      </c>
      <c r="H7" s="60">
        <v>126593</v>
      </c>
      <c r="I7" s="74" t="s">
        <v>73</v>
      </c>
      <c r="J7" s="11">
        <f>(D6-D7)/D6</f>
        <v>-0.11155495511523265</v>
      </c>
      <c r="K7" s="11">
        <f>(E6-E7)/E6</f>
        <v>1.2093394844642173E-2</v>
      </c>
      <c r="L7" s="11">
        <f>(G6-G7)/G6</f>
        <v>-7.2618115307661837E-2</v>
      </c>
      <c r="M7" s="16">
        <f>(H6-H7)/H6</f>
        <v>-2.9027328445318724E-2</v>
      </c>
      <c r="N7" s="11">
        <f>(F6-F7)/F6</f>
        <v>0.44504950495049506</v>
      </c>
    </row>
    <row r="8" spans="2:14" ht="19" x14ac:dyDescent="0.25">
      <c r="B8" s="105"/>
      <c r="C8" s="39" t="s">
        <v>8</v>
      </c>
      <c r="D8" s="62">
        <v>1096175</v>
      </c>
      <c r="E8" s="60">
        <v>103148</v>
      </c>
      <c r="F8" s="60">
        <v>982</v>
      </c>
      <c r="G8" s="62">
        <v>780738</v>
      </c>
      <c r="H8" s="60">
        <v>126799</v>
      </c>
      <c r="I8" s="74" t="s">
        <v>74</v>
      </c>
      <c r="J8" s="11">
        <f>(D6-D8)/D6</f>
        <v>-1.5721714442442976E-2</v>
      </c>
      <c r="K8" s="11">
        <f>(E6-E8)/E6</f>
        <v>0.19209229829329616</v>
      </c>
      <c r="L8" s="11">
        <f>(G6-G8)/G6</f>
        <v>-7.011103691275598E-4</v>
      </c>
      <c r="M8" s="16">
        <f>(H6-H8)/H6</f>
        <v>-3.0701825689714034E-2</v>
      </c>
      <c r="N8" s="11">
        <f>(F6-F8)/F6</f>
        <v>0.75693069306930694</v>
      </c>
    </row>
    <row r="9" spans="2:14" ht="19" x14ac:dyDescent="0.25">
      <c r="B9" s="106"/>
      <c r="C9" s="41" t="s">
        <v>97</v>
      </c>
      <c r="D9" s="66">
        <v>1310910</v>
      </c>
      <c r="E9" s="64">
        <v>91581</v>
      </c>
      <c r="F9" s="64">
        <v>5729</v>
      </c>
      <c r="G9" s="66">
        <v>767274</v>
      </c>
      <c r="H9" s="64">
        <v>123853</v>
      </c>
      <c r="I9" s="77" t="s">
        <v>75</v>
      </c>
      <c r="J9" s="14">
        <f>(D6-D9)/D6</f>
        <v>-0.2146963328663242</v>
      </c>
      <c r="K9" s="14">
        <f>(E6-E9)/E6</f>
        <v>0.2826909370031252</v>
      </c>
      <c r="L9" s="14">
        <f>(G6-G9)/G6</f>
        <v>1.6556202263291936E-2</v>
      </c>
      <c r="M9" s="17">
        <f>(H6-H9)/H6</f>
        <v>-6.7548893693810865E-3</v>
      </c>
      <c r="N9" s="14">
        <f>(F6-F9)/F6</f>
        <v>-0.41806930693069305</v>
      </c>
    </row>
    <row r="10" spans="2:14" ht="19" x14ac:dyDescent="0.25">
      <c r="B10" s="104" t="s">
        <v>9</v>
      </c>
      <c r="C10" s="37" t="s">
        <v>6</v>
      </c>
      <c r="D10" s="62">
        <v>921812</v>
      </c>
      <c r="E10" s="60">
        <v>123013</v>
      </c>
      <c r="F10" s="60">
        <v>5000</v>
      </c>
      <c r="G10" s="62">
        <v>657914</v>
      </c>
      <c r="H10" s="60">
        <v>132870</v>
      </c>
      <c r="I10" s="74" t="s">
        <v>76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5">
        <f>(H10-H10)/H10</f>
        <v>0</v>
      </c>
      <c r="N10" s="13">
        <f>(F10-F10)/F10</f>
        <v>0</v>
      </c>
    </row>
    <row r="11" spans="2:14" ht="19" x14ac:dyDescent="0.25">
      <c r="B11" s="105"/>
      <c r="C11" s="39" t="s">
        <v>7</v>
      </c>
      <c r="D11" s="62">
        <v>966627</v>
      </c>
      <c r="E11" s="60">
        <v>120089</v>
      </c>
      <c r="F11" s="60">
        <v>1365</v>
      </c>
      <c r="G11" s="62">
        <v>675040</v>
      </c>
      <c r="H11" s="60">
        <v>134657</v>
      </c>
      <c r="I11" s="74" t="s">
        <v>77</v>
      </c>
      <c r="J11" s="11">
        <f>(D10-D11)/D10</f>
        <v>-4.861620373785544E-2</v>
      </c>
      <c r="K11" s="11">
        <f>(E10-E11)/E10</f>
        <v>2.37698454634876E-2</v>
      </c>
      <c r="L11" s="11">
        <f>(G10-G11)/G10</f>
        <v>-2.6030757819411048E-2</v>
      </c>
      <c r="M11" s="16">
        <f>(H10-H13)/H10</f>
        <v>-8.6324979303078198E-3</v>
      </c>
      <c r="N11" s="11">
        <f>(F10-F11)/F10</f>
        <v>0.72699999999999998</v>
      </c>
    </row>
    <row r="12" spans="2:14" ht="19" x14ac:dyDescent="0.25">
      <c r="B12" s="105"/>
      <c r="C12" s="39" t="s">
        <v>8</v>
      </c>
      <c r="D12" s="62">
        <v>1028396</v>
      </c>
      <c r="E12" s="60">
        <v>106731</v>
      </c>
      <c r="F12" s="60">
        <v>1783</v>
      </c>
      <c r="G12" s="62">
        <v>700124</v>
      </c>
      <c r="H12" s="60">
        <v>138505</v>
      </c>
      <c r="I12" s="74" t="s">
        <v>78</v>
      </c>
      <c r="J12" s="11">
        <f>(D10-D12)/D10</f>
        <v>-0.11562444402980217</v>
      </c>
      <c r="K12" s="11">
        <f>(E10-E12)/E10</f>
        <v>0.13235999447212896</v>
      </c>
      <c r="L12" s="11">
        <f>(G10-G12)/G10</f>
        <v>-6.4157321473627252E-2</v>
      </c>
      <c r="M12" s="16">
        <f>(H10-H12)/H10</f>
        <v>-4.2409874313238505E-2</v>
      </c>
      <c r="N12" s="11">
        <f>(F10-F12)/F10</f>
        <v>0.64339999999999997</v>
      </c>
    </row>
    <row r="13" spans="2:14" ht="19" x14ac:dyDescent="0.25">
      <c r="B13" s="106"/>
      <c r="C13" s="41" t="s">
        <v>97</v>
      </c>
      <c r="D13" s="62">
        <v>1051277</v>
      </c>
      <c r="E13" s="60">
        <v>88316</v>
      </c>
      <c r="F13" s="60">
        <v>5278</v>
      </c>
      <c r="G13" s="62">
        <v>660262</v>
      </c>
      <c r="H13" s="60">
        <v>134017</v>
      </c>
      <c r="I13" s="74" t="s">
        <v>79</v>
      </c>
      <c r="J13" s="11">
        <f>(D10-D13)/D10</f>
        <v>-0.14044620812052783</v>
      </c>
      <c r="K13" s="11">
        <f>(E10-E13)/E10</f>
        <v>0.2820596197149895</v>
      </c>
      <c r="L13" s="23">
        <f>(G10-G13)/G10</f>
        <v>-3.5688555039108455E-3</v>
      </c>
      <c r="M13" s="17">
        <f>(H10-H13)/H10</f>
        <v>-8.6324979303078198E-3</v>
      </c>
      <c r="N13" s="14">
        <f>(F10-F13)/F10</f>
        <v>-5.5599999999999997E-2</v>
      </c>
    </row>
    <row r="14" spans="2:14" ht="19" x14ac:dyDescent="0.25">
      <c r="B14" s="104" t="s">
        <v>10</v>
      </c>
      <c r="C14" s="37" t="s">
        <v>6</v>
      </c>
      <c r="D14" s="58">
        <v>1888668</v>
      </c>
      <c r="E14" s="56">
        <v>296478</v>
      </c>
      <c r="F14" s="56">
        <v>11540</v>
      </c>
      <c r="G14" s="58">
        <v>1254209</v>
      </c>
      <c r="H14" s="56">
        <v>287298</v>
      </c>
      <c r="I14" s="76" t="s">
        <v>80</v>
      </c>
      <c r="J14" s="13">
        <f>(D14-D14)/D14</f>
        <v>0</v>
      </c>
      <c r="K14" s="13">
        <f>(E14-E14)/E14</f>
        <v>0</v>
      </c>
      <c r="L14" s="13">
        <f>(G14-G14)/G14</f>
        <v>0</v>
      </c>
      <c r="M14" s="15">
        <f>(H14-H14)/H14</f>
        <v>0</v>
      </c>
      <c r="N14" s="11">
        <f>(F14-F14)/F14</f>
        <v>0</v>
      </c>
    </row>
    <row r="15" spans="2:14" ht="19" x14ac:dyDescent="0.25">
      <c r="B15" s="105"/>
      <c r="C15" s="39" t="s">
        <v>7</v>
      </c>
      <c r="D15" s="62">
        <v>1853257</v>
      </c>
      <c r="E15" s="147">
        <v>285070</v>
      </c>
      <c r="F15" s="147">
        <v>4826</v>
      </c>
      <c r="G15" s="62">
        <v>1249848</v>
      </c>
      <c r="H15" s="147">
        <v>288324</v>
      </c>
      <c r="I15" s="74" t="s">
        <v>81</v>
      </c>
      <c r="J15" s="11">
        <f>(D14-D15)/D14</f>
        <v>1.8749192552634977E-2</v>
      </c>
      <c r="K15" s="11">
        <f>(E14-E15)/E14</f>
        <v>3.8478403119287095E-2</v>
      </c>
      <c r="L15" s="11">
        <f>(G14-G15)/G14</f>
        <v>3.4770919360329897E-3</v>
      </c>
      <c r="M15" s="16">
        <f>(H14-H15)/H14</f>
        <v>-3.5712048117285886E-3</v>
      </c>
      <c r="N15" s="11">
        <f>(F14-F15)/F14</f>
        <v>0.58180242634315427</v>
      </c>
    </row>
    <row r="16" spans="2:14" ht="19" x14ac:dyDescent="0.25">
      <c r="B16" s="105"/>
      <c r="C16" s="39" t="s">
        <v>8</v>
      </c>
      <c r="D16" s="62">
        <v>1882727</v>
      </c>
      <c r="E16" s="147">
        <v>225116</v>
      </c>
      <c r="F16" s="147">
        <v>4315</v>
      </c>
      <c r="G16" s="62">
        <v>1246250</v>
      </c>
      <c r="H16" s="147">
        <v>292077</v>
      </c>
      <c r="I16" s="74" t="s">
        <v>82</v>
      </c>
      <c r="J16" s="11">
        <f>(D14-D16)/D14</f>
        <v>3.1456031446500921E-3</v>
      </c>
      <c r="K16" s="11">
        <f>(E14-E16)/E14</f>
        <v>0.24069914125162745</v>
      </c>
      <c r="L16" s="11">
        <f>(G14-G16)/G14</f>
        <v>6.345832313434204E-3</v>
      </c>
      <c r="M16" s="16">
        <f>(H14-H16)/H14</f>
        <v>-1.6634296096735793E-2</v>
      </c>
      <c r="N16" s="11">
        <f>(F14-F16)/F14</f>
        <v>0.62608318890814563</v>
      </c>
    </row>
    <row r="17" spans="1:16" ht="19" x14ac:dyDescent="0.25">
      <c r="B17" s="106"/>
      <c r="C17" s="41" t="s">
        <v>97</v>
      </c>
      <c r="D17" s="66">
        <v>2076368</v>
      </c>
      <c r="E17" s="64">
        <v>211735</v>
      </c>
      <c r="F17" s="64">
        <v>11849</v>
      </c>
      <c r="G17" s="66">
        <v>1238628</v>
      </c>
      <c r="H17" s="64">
        <v>286493</v>
      </c>
      <c r="I17" s="77" t="s">
        <v>83</v>
      </c>
      <c r="J17" s="14">
        <f>(D14-D17)/D14</f>
        <v>-9.9382210107864383E-2</v>
      </c>
      <c r="K17" s="14">
        <f>(E14-E17)/E14</f>
        <v>0.28583233831852617</v>
      </c>
      <c r="L17" s="24">
        <f>(G14-G17)/G14</f>
        <v>1.2422969377512041E-2</v>
      </c>
      <c r="M17" s="17">
        <f>(H14-H17)/H14</f>
        <v>2.8019686875648282E-3</v>
      </c>
      <c r="N17" s="11">
        <f>(F14-F17)/F14</f>
        <v>-2.6776429809358751E-2</v>
      </c>
    </row>
    <row r="18" spans="1:16" ht="19" customHeight="1" x14ac:dyDescent="0.2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</row>
    <row r="19" spans="1:16" ht="19" customHeight="1" x14ac:dyDescent="0.2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</row>
    <row r="20" spans="1:16" ht="19" customHeight="1" x14ac:dyDescent="0.2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</row>
    <row r="21" spans="1:16" ht="19" customHeight="1" x14ac:dyDescent="0.2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 spans="1:16" ht="19" customHeight="1" x14ac:dyDescent="0.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  <row r="23" spans="1:16" ht="19" customHeight="1" x14ac:dyDescent="0.2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</row>
    <row r="24" spans="1:16" ht="19" customHeight="1" x14ac:dyDescent="0.2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6" ht="19" customHeight="1" x14ac:dyDescent="0.2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</row>
    <row r="26" spans="1:16" x14ac:dyDescent="0.2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</row>
    <row r="27" spans="1:16" x14ac:dyDescent="0.2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</row>
    <row r="28" spans="1:16" x14ac:dyDescent="0.2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</row>
    <row r="29" spans="1:16" x14ac:dyDescent="0.2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</row>
    <row r="30" spans="1:16" ht="22" customHeight="1" x14ac:dyDescent="0.2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</row>
    <row r="31" spans="1:16" x14ac:dyDescent="0.2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</row>
    <row r="32" spans="1:16" ht="19" customHeight="1" x14ac:dyDescent="0.2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</row>
    <row r="33" spans="1:16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</row>
    <row r="34" spans="1:16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</row>
    <row r="35" spans="1:16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</row>
    <row r="36" spans="1:16" x14ac:dyDescent="0.2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</row>
    <row r="37" spans="1:16" x14ac:dyDescent="0.2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</row>
    <row r="38" spans="1:16" x14ac:dyDescent="0.2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</row>
    <row r="39" spans="1:16" x14ac:dyDescent="0.2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</row>
    <row r="40" spans="1:16" x14ac:dyDescent="0.2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</row>
    <row r="41" spans="1:16" x14ac:dyDescent="0.2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</row>
    <row r="42" spans="1:16" x14ac:dyDescent="0.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</row>
    <row r="43" spans="1:16" x14ac:dyDescent="0.2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</row>
    <row r="44" spans="1:16" x14ac:dyDescent="0.2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</row>
    <row r="45" spans="1:16" x14ac:dyDescent="0.2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</row>
    <row r="46" spans="1:16" x14ac:dyDescent="0.2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</row>
    <row r="47" spans="1:16" x14ac:dyDescent="0.2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</row>
    <row r="48" spans="1:16" x14ac:dyDescent="0.2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</row>
    <row r="49" spans="1:16" x14ac:dyDescent="0.2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</row>
    <row r="50" spans="1:16" x14ac:dyDescent="0.2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</row>
    <row r="51" spans="1:16" x14ac:dyDescent="0.2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</row>
    <row r="52" spans="1:16" x14ac:dyDescent="0.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</row>
    <row r="53" spans="1:16" x14ac:dyDescent="0.2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</row>
    <row r="54" spans="1:16" x14ac:dyDescent="0.2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</row>
    <row r="55" spans="1:16" x14ac:dyDescent="0.2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</row>
    <row r="56" spans="1:16" x14ac:dyDescent="0.2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</row>
    <row r="57" spans="1:16" x14ac:dyDescent="0.2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</row>
    <row r="58" spans="1:16" x14ac:dyDescent="0.2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</row>
    <row r="59" spans="1:16" x14ac:dyDescent="0.2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</row>
    <row r="60" spans="1:16" x14ac:dyDescent="0.2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</row>
  </sheetData>
  <mergeCells count="17">
    <mergeCell ref="L2:L3"/>
    <mergeCell ref="M2:M3"/>
    <mergeCell ref="B6:B9"/>
    <mergeCell ref="B10:B13"/>
    <mergeCell ref="B14:B17"/>
    <mergeCell ref="J2:J3"/>
    <mergeCell ref="J4:J5"/>
    <mergeCell ref="F4:F5"/>
    <mergeCell ref="G4:G5"/>
    <mergeCell ref="H4:H5"/>
    <mergeCell ref="I4:I5"/>
    <mergeCell ref="K2:K3"/>
    <mergeCell ref="D2:F3"/>
    <mergeCell ref="G2:H3"/>
    <mergeCell ref="I2:I3"/>
    <mergeCell ref="D4:D5"/>
    <mergeCell ref="E4:E5"/>
  </mergeCells>
  <conditionalFormatting sqref="J6:N17">
    <cfRule type="cellIs" dxfId="8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EF64-5A58-3141-81C8-77D75FE40BE7}">
  <dimension ref="A2:P57"/>
  <sheetViews>
    <sheetView zoomScale="131" workbookViewId="0">
      <selection activeCell="C9" sqref="C9"/>
    </sheetView>
  </sheetViews>
  <sheetFormatPr baseColWidth="10" defaultRowHeight="16" x14ac:dyDescent="0.2"/>
  <cols>
    <col min="2" max="2" width="11" bestFit="1" customWidth="1"/>
    <col min="3" max="3" width="11.5" bestFit="1" customWidth="1"/>
    <col min="4" max="4" width="14" bestFit="1" customWidth="1"/>
    <col min="5" max="5" width="13.1640625" bestFit="1" customWidth="1"/>
    <col min="6" max="6" width="12.1640625" bestFit="1" customWidth="1"/>
    <col min="7" max="7" width="14" bestFit="1" customWidth="1"/>
    <col min="8" max="8" width="13.1640625" bestFit="1" customWidth="1"/>
    <col min="9" max="9" width="12.5" style="30" bestFit="1" customWidth="1"/>
    <col min="10" max="10" width="27.83203125" style="30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2" spans="2:14" x14ac:dyDescent="0.2">
      <c r="B2" s="1"/>
      <c r="D2" s="127" t="s">
        <v>12</v>
      </c>
      <c r="E2" s="128"/>
      <c r="F2" s="114"/>
      <c r="G2" s="127" t="s">
        <v>11</v>
      </c>
      <c r="H2" s="128"/>
      <c r="I2" s="119" t="s">
        <v>20</v>
      </c>
      <c r="J2" s="102" t="s">
        <v>39</v>
      </c>
      <c r="K2" s="102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1"/>
      <c r="D3" s="129"/>
      <c r="E3" s="130"/>
      <c r="F3" s="115"/>
      <c r="G3" s="129"/>
      <c r="H3" s="130"/>
      <c r="I3" s="120"/>
      <c r="J3" s="103"/>
      <c r="K3" s="103"/>
      <c r="L3" s="103"/>
      <c r="M3" s="108"/>
      <c r="N3" s="12" t="s">
        <v>96</v>
      </c>
    </row>
    <row r="4" spans="2:14" x14ac:dyDescent="0.2">
      <c r="B4" s="4" t="s">
        <v>13</v>
      </c>
      <c r="C4" s="9" t="s">
        <v>0</v>
      </c>
      <c r="D4" s="97" t="s">
        <v>3</v>
      </c>
      <c r="E4" s="132" t="s">
        <v>1</v>
      </c>
      <c r="F4" s="98" t="s">
        <v>2</v>
      </c>
      <c r="G4" s="97" t="s">
        <v>4</v>
      </c>
      <c r="H4" s="132" t="s">
        <v>1</v>
      </c>
      <c r="I4" s="119" t="s">
        <v>25</v>
      </c>
      <c r="J4" s="110"/>
      <c r="K4" s="10"/>
      <c r="L4" s="10"/>
      <c r="M4" s="7"/>
      <c r="N4" s="10"/>
    </row>
    <row r="5" spans="2:14" x14ac:dyDescent="0.2">
      <c r="B5" s="5"/>
      <c r="C5" s="10"/>
      <c r="D5" s="131"/>
      <c r="E5" s="133"/>
      <c r="F5" s="134"/>
      <c r="G5" s="131"/>
      <c r="H5" s="133"/>
      <c r="I5" s="120"/>
      <c r="J5" s="111"/>
      <c r="K5" s="12"/>
      <c r="L5" s="12"/>
      <c r="M5" s="8"/>
      <c r="N5" s="10"/>
    </row>
    <row r="6" spans="2:14" ht="19" x14ac:dyDescent="0.25">
      <c r="B6" s="102" t="s">
        <v>5</v>
      </c>
      <c r="C6" s="9" t="s">
        <v>6</v>
      </c>
      <c r="D6" s="58">
        <v>1079208</v>
      </c>
      <c r="E6" s="56">
        <v>127673</v>
      </c>
      <c r="F6" s="57">
        <v>6062</v>
      </c>
      <c r="G6" s="56">
        <v>780191</v>
      </c>
      <c r="H6" s="56">
        <v>123022</v>
      </c>
      <c r="I6" s="76" t="s">
        <v>84</v>
      </c>
      <c r="J6" s="13">
        <f>(D6-D6)/D6</f>
        <v>0</v>
      </c>
      <c r="K6" s="13">
        <f>(E6-E6)/E6</f>
        <v>0</v>
      </c>
      <c r="L6" s="13">
        <f>(G6-G6)/G6</f>
        <v>0</v>
      </c>
      <c r="M6" s="15">
        <f>(H6-H6)/H6</f>
        <v>0</v>
      </c>
      <c r="N6" s="13">
        <f>(F6-F6)/F6</f>
        <v>0</v>
      </c>
    </row>
    <row r="7" spans="2:14" ht="19" x14ac:dyDescent="0.25">
      <c r="B7" s="126"/>
      <c r="C7" s="10" t="s">
        <v>7</v>
      </c>
      <c r="D7" s="62">
        <v>1199599</v>
      </c>
      <c r="E7" s="60">
        <v>126129</v>
      </c>
      <c r="F7" s="61">
        <v>2451</v>
      </c>
      <c r="G7" s="60">
        <v>836847</v>
      </c>
      <c r="H7" s="60">
        <v>126593</v>
      </c>
      <c r="I7" s="74" t="s">
        <v>85</v>
      </c>
      <c r="J7" s="11">
        <f>(D6-D7)/D6</f>
        <v>-0.11155495511523265</v>
      </c>
      <c r="K7" s="11">
        <f>(E6-E7)/E6</f>
        <v>1.2093394844642173E-2</v>
      </c>
      <c r="L7" s="11">
        <f>(G6-G7)/G6</f>
        <v>-7.2618115307661837E-2</v>
      </c>
      <c r="M7" s="16">
        <f>(H6-H7)/H6</f>
        <v>-2.9027328445318724E-2</v>
      </c>
      <c r="N7" s="11">
        <f>(F6-F7)/F6</f>
        <v>0.5956779940613659</v>
      </c>
    </row>
    <row r="8" spans="2:14" ht="19" x14ac:dyDescent="0.25">
      <c r="B8" s="126"/>
      <c r="C8" s="10" t="s">
        <v>8</v>
      </c>
      <c r="D8" s="62">
        <v>1096175</v>
      </c>
      <c r="E8" s="60">
        <v>103148</v>
      </c>
      <c r="F8" s="61">
        <v>2396</v>
      </c>
      <c r="G8" s="60">
        <v>780738</v>
      </c>
      <c r="H8" s="60">
        <v>126799</v>
      </c>
      <c r="I8" s="74" t="s">
        <v>86</v>
      </c>
      <c r="J8" s="11">
        <f>(D6-D8)/D6</f>
        <v>-1.5721714442442976E-2</v>
      </c>
      <c r="K8" s="11">
        <f>(E6-E8)/E6</f>
        <v>0.19209229829329616</v>
      </c>
      <c r="L8" s="11">
        <f>(G6-G8)/G6</f>
        <v>-7.011103691275598E-4</v>
      </c>
      <c r="M8" s="16">
        <f>(H6-H8)/H6</f>
        <v>-3.0701825689714034E-2</v>
      </c>
      <c r="N8" s="11">
        <f>(F6-F8)/F6</f>
        <v>0.60475090729132297</v>
      </c>
    </row>
    <row r="9" spans="2:14" ht="19" x14ac:dyDescent="0.25">
      <c r="B9" s="103"/>
      <c r="C9" s="27" t="s">
        <v>97</v>
      </c>
      <c r="D9" s="66">
        <v>1157806</v>
      </c>
      <c r="E9" s="64">
        <v>91535</v>
      </c>
      <c r="F9" s="65">
        <v>6677</v>
      </c>
      <c r="G9" s="64">
        <v>779918</v>
      </c>
      <c r="H9" s="64">
        <v>123149</v>
      </c>
      <c r="I9" s="75">
        <v>7.3836805555555557E-3</v>
      </c>
      <c r="J9" s="14">
        <f>(D6-D9)/D6</f>
        <v>-7.2829334104269061E-2</v>
      </c>
      <c r="K9" s="14">
        <f>(E6-E9)/E6</f>
        <v>0.28305123244538782</v>
      </c>
      <c r="L9" s="14">
        <f>(G6-G9)/G6</f>
        <v>3.4991431585342566E-4</v>
      </c>
      <c r="M9" s="17">
        <f>(H6-H9)/H6</f>
        <v>-1.0323356797971096E-3</v>
      </c>
      <c r="N9" s="14">
        <f>(F6-F9)/F6</f>
        <v>-0.10145166611679314</v>
      </c>
    </row>
    <row r="10" spans="2:14" ht="19" x14ac:dyDescent="0.25">
      <c r="B10" s="102" t="s">
        <v>9</v>
      </c>
      <c r="C10" s="9" t="s">
        <v>6</v>
      </c>
      <c r="D10" s="62">
        <v>915871</v>
      </c>
      <c r="E10" s="60">
        <v>121205</v>
      </c>
      <c r="F10" s="61">
        <v>11045</v>
      </c>
      <c r="G10" s="60">
        <v>652211</v>
      </c>
      <c r="H10" s="60">
        <v>128555</v>
      </c>
      <c r="I10" s="74" t="s">
        <v>87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5">
        <f>(H10-H10)/H10</f>
        <v>0</v>
      </c>
      <c r="N10" s="13">
        <f>(F10-F10)/F10</f>
        <v>0</v>
      </c>
    </row>
    <row r="11" spans="2:14" ht="19" x14ac:dyDescent="0.25">
      <c r="B11" s="126"/>
      <c r="C11" s="10" t="s">
        <v>7</v>
      </c>
      <c r="D11" s="62">
        <v>950633</v>
      </c>
      <c r="E11" s="60">
        <v>116616</v>
      </c>
      <c r="F11" s="61">
        <v>1864</v>
      </c>
      <c r="G11" s="60">
        <v>672407</v>
      </c>
      <c r="H11" s="60">
        <v>130223</v>
      </c>
      <c r="I11" s="74" t="s">
        <v>88</v>
      </c>
      <c r="J11" s="11">
        <f>(D10-D11)/D10</f>
        <v>-3.7955126868303504E-2</v>
      </c>
      <c r="K11" s="11">
        <f>(E10-E11)/E10</f>
        <v>3.7861474361618748E-2</v>
      </c>
      <c r="L11" s="11">
        <f>(G10-G11)/G10</f>
        <v>-3.0965439098696586E-2</v>
      </c>
      <c r="M11" s="16">
        <f>(H10-H11)/H10</f>
        <v>-1.2974991248881802E-2</v>
      </c>
      <c r="N11" s="11">
        <f>(F10-F11)/F10</f>
        <v>0.83123585332729744</v>
      </c>
    </row>
    <row r="12" spans="2:14" ht="19" x14ac:dyDescent="0.25">
      <c r="B12" s="126"/>
      <c r="C12" s="10" t="s">
        <v>8</v>
      </c>
      <c r="D12" s="62">
        <v>1006006</v>
      </c>
      <c r="E12" s="60">
        <v>103138</v>
      </c>
      <c r="F12" s="61">
        <v>1811</v>
      </c>
      <c r="G12" s="60">
        <v>683369</v>
      </c>
      <c r="H12" s="60">
        <v>133017</v>
      </c>
      <c r="I12" s="74" t="s">
        <v>89</v>
      </c>
      <c r="J12" s="11">
        <f>(D10-D12)/D10</f>
        <v>-9.8414514707857323E-2</v>
      </c>
      <c r="K12" s="11">
        <f>(E10-E12)/E10</f>
        <v>0.14906150736355761</v>
      </c>
      <c r="L12" s="11">
        <f>(G10-G12)/G10</f>
        <v>-4.7772883315368803E-2</v>
      </c>
      <c r="M12" s="16">
        <f>(H10-H12)/H10</f>
        <v>-3.4708879467932011E-2</v>
      </c>
      <c r="N12" s="11">
        <f>(F10-F12)/F10</f>
        <v>0.83603440470801271</v>
      </c>
    </row>
    <row r="13" spans="2:14" ht="19" x14ac:dyDescent="0.25">
      <c r="B13" s="103"/>
      <c r="C13" s="27" t="s">
        <v>97</v>
      </c>
      <c r="D13" s="62">
        <v>1034379</v>
      </c>
      <c r="E13" s="60">
        <v>86689</v>
      </c>
      <c r="F13" s="61">
        <v>4568</v>
      </c>
      <c r="G13" s="60">
        <v>650684</v>
      </c>
      <c r="H13" s="60">
        <v>128308</v>
      </c>
      <c r="I13" s="74" t="s">
        <v>90</v>
      </c>
      <c r="J13" s="11">
        <f>(D10-D13)/D10</f>
        <v>-0.12939376833637051</v>
      </c>
      <c r="K13" s="11">
        <f>(E10-E13)/E10</f>
        <v>0.28477373045666432</v>
      </c>
      <c r="L13" s="29">
        <f>(G10-G13)/G10</f>
        <v>2.3412668599578973E-3</v>
      </c>
      <c r="M13" s="17">
        <f>(H10-H13)/H10</f>
        <v>1.921356617790051E-3</v>
      </c>
      <c r="N13" s="14">
        <f>(F10-F13)/F10</f>
        <v>0.58641919420552291</v>
      </c>
    </row>
    <row r="14" spans="2:14" ht="19" x14ac:dyDescent="0.25">
      <c r="B14" s="102" t="s">
        <v>10</v>
      </c>
      <c r="C14" s="9" t="s">
        <v>6</v>
      </c>
      <c r="D14" s="58">
        <v>1888668</v>
      </c>
      <c r="E14" s="56">
        <v>296478</v>
      </c>
      <c r="F14" s="57">
        <v>11842</v>
      </c>
      <c r="G14" s="56">
        <v>1254209</v>
      </c>
      <c r="H14" s="56">
        <v>287298</v>
      </c>
      <c r="I14" s="76" t="s">
        <v>91</v>
      </c>
      <c r="J14" s="13">
        <f>(D14-D14)/D14</f>
        <v>0</v>
      </c>
      <c r="K14" s="13">
        <f>(E14-E14)/E14</f>
        <v>0</v>
      </c>
      <c r="L14" s="13">
        <f>(G14-G14)/G14</f>
        <v>0</v>
      </c>
      <c r="M14" s="15">
        <f>(H14-H14)/H14</f>
        <v>0</v>
      </c>
      <c r="N14" s="11">
        <f>(F14-F14)/F14</f>
        <v>0</v>
      </c>
    </row>
    <row r="15" spans="2:14" ht="19" x14ac:dyDescent="0.25">
      <c r="B15" s="126"/>
      <c r="C15" s="10" t="s">
        <v>7</v>
      </c>
      <c r="D15" s="62">
        <v>1853257</v>
      </c>
      <c r="E15" s="60">
        <v>285070</v>
      </c>
      <c r="F15" s="61">
        <v>3808</v>
      </c>
      <c r="G15" s="60">
        <v>1249848</v>
      </c>
      <c r="H15" s="60">
        <v>288324</v>
      </c>
      <c r="I15" s="74" t="s">
        <v>92</v>
      </c>
      <c r="J15" s="11">
        <f>(D14-D15)/D14</f>
        <v>1.8749192552634977E-2</v>
      </c>
      <c r="K15" s="11">
        <f>(E14-E15)/E14</f>
        <v>3.8478403119287095E-2</v>
      </c>
      <c r="L15" s="11">
        <f>(G14-G15)/G14</f>
        <v>3.4770919360329897E-3</v>
      </c>
      <c r="M15" s="16">
        <f>(H14-H15)/H14</f>
        <v>-3.5712048117285886E-3</v>
      </c>
      <c r="N15" s="11">
        <f>(F14-F15)/F14</f>
        <v>0.67843269717953048</v>
      </c>
    </row>
    <row r="16" spans="2:14" ht="19" x14ac:dyDescent="0.25">
      <c r="B16" s="126"/>
      <c r="C16" s="10" t="s">
        <v>8</v>
      </c>
      <c r="D16" s="62">
        <v>1882727</v>
      </c>
      <c r="E16" s="60">
        <v>225116</v>
      </c>
      <c r="F16" s="61">
        <v>3277</v>
      </c>
      <c r="G16" s="60">
        <v>1246250</v>
      </c>
      <c r="H16" s="60">
        <v>292077</v>
      </c>
      <c r="I16" s="74" t="s">
        <v>93</v>
      </c>
      <c r="J16" s="11">
        <f>(D14-D16)/D14</f>
        <v>3.1456031446500921E-3</v>
      </c>
      <c r="K16" s="11">
        <f>(E14-E16)/E14</f>
        <v>0.24069914125162745</v>
      </c>
      <c r="L16" s="11">
        <f>(G14-G16)/G14</f>
        <v>6.345832313434204E-3</v>
      </c>
      <c r="M16" s="16">
        <f>(H14-H16)/H14</f>
        <v>-1.6634296096735793E-2</v>
      </c>
      <c r="N16" s="11">
        <f>(F14-F16)/F14</f>
        <v>0.72327309576085119</v>
      </c>
    </row>
    <row r="17" spans="1:16" ht="19" x14ac:dyDescent="0.25">
      <c r="B17" s="103"/>
      <c r="C17" s="27" t="s">
        <v>97</v>
      </c>
      <c r="D17" s="66">
        <v>1961704</v>
      </c>
      <c r="E17" s="64">
        <v>211687</v>
      </c>
      <c r="F17" s="65">
        <v>9873</v>
      </c>
      <c r="G17" s="64">
        <v>1222149</v>
      </c>
      <c r="H17" s="64">
        <v>285075</v>
      </c>
      <c r="I17" s="77" t="s">
        <v>94</v>
      </c>
      <c r="J17" s="14">
        <f>(D14-D17)/D14</f>
        <v>-3.8670639837176252E-2</v>
      </c>
      <c r="K17" s="14">
        <f>(E14-E17)/E14</f>
        <v>0.28599423903291304</v>
      </c>
      <c r="L17" s="24">
        <f>(G14-G17)/G14</f>
        <v>2.5561927876454404E-2</v>
      </c>
      <c r="M17" s="17">
        <f>(H14-H17)/H14</f>
        <v>7.7376104254119416E-3</v>
      </c>
      <c r="N17" s="11">
        <f>(F14-F17)/F14</f>
        <v>0.16627258908968079</v>
      </c>
    </row>
    <row r="18" spans="1:16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</row>
    <row r="19" spans="1:16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</row>
    <row r="20" spans="1:16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2" spans="1:16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  <row r="23" spans="1:16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</row>
    <row r="24" spans="1:16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</row>
    <row r="25" spans="1:16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6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</row>
    <row r="27" spans="1:16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</row>
    <row r="28" spans="1:16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</row>
    <row r="29" spans="1:16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</row>
    <row r="30" spans="1:16" ht="22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</row>
    <row r="31" spans="1:16" x14ac:dyDescent="0.2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</row>
    <row r="32" spans="1:16" ht="19" customHeight="1" x14ac:dyDescent="0.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</row>
    <row r="33" spans="1:16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</row>
    <row r="34" spans="1:16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</row>
    <row r="35" spans="1:16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</row>
    <row r="36" spans="1:16" x14ac:dyDescent="0.2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</row>
    <row r="37" spans="1:16" x14ac:dyDescent="0.2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</row>
    <row r="38" spans="1:16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</row>
    <row r="39" spans="1:16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</row>
    <row r="40" spans="1:16" x14ac:dyDescent="0.2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</row>
    <row r="41" spans="1:16" x14ac:dyDescent="0.2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</row>
    <row r="42" spans="1:16" x14ac:dyDescent="0.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</row>
    <row r="43" spans="1:16" x14ac:dyDescent="0.2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</row>
    <row r="44" spans="1:16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</row>
    <row r="45" spans="1:16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</row>
    <row r="46" spans="1:16" x14ac:dyDescent="0.2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</row>
    <row r="47" spans="1:16" x14ac:dyDescent="0.2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</row>
    <row r="48" spans="1:16" x14ac:dyDescent="0.2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</row>
    <row r="49" spans="1:16" x14ac:dyDescent="0.2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</row>
    <row r="50" spans="1:16" x14ac:dyDescent="0.2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</row>
    <row r="51" spans="1:16" x14ac:dyDescent="0.2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</row>
    <row r="52" spans="1:16" x14ac:dyDescent="0.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</row>
    <row r="53" spans="1:16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</row>
    <row r="54" spans="1:16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</row>
    <row r="55" spans="1:16" x14ac:dyDescent="0.2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</row>
    <row r="56" spans="1:16" x14ac:dyDescent="0.2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</row>
    <row r="57" spans="1:16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</row>
  </sheetData>
  <mergeCells count="17">
    <mergeCell ref="D2:F3"/>
    <mergeCell ref="G2:H3"/>
    <mergeCell ref="K2:K3"/>
    <mergeCell ref="L2:L3"/>
    <mergeCell ref="J4:J5"/>
    <mergeCell ref="B6:B9"/>
    <mergeCell ref="B10:B13"/>
    <mergeCell ref="B14:B17"/>
    <mergeCell ref="D4:D5"/>
    <mergeCell ref="E4:E5"/>
    <mergeCell ref="F4:F5"/>
    <mergeCell ref="G4:G5"/>
    <mergeCell ref="H4:H5"/>
    <mergeCell ref="M2:M3"/>
    <mergeCell ref="I2:I3"/>
    <mergeCell ref="J2:J3"/>
    <mergeCell ref="I4:I5"/>
  </mergeCells>
  <conditionalFormatting sqref="J6:N17">
    <cfRule type="cellIs" dxfId="7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43E1-FE62-C047-A0FA-6F69FA11F129}">
  <dimension ref="A2:Q86"/>
  <sheetViews>
    <sheetView zoomScale="110" workbookViewId="0">
      <selection activeCell="C17" sqref="C17"/>
    </sheetView>
  </sheetViews>
  <sheetFormatPr baseColWidth="10" defaultRowHeight="16" x14ac:dyDescent="0.2"/>
  <cols>
    <col min="2" max="2" width="12.6640625" customWidth="1"/>
    <col min="3" max="3" width="10.5" bestFit="1" customWidth="1"/>
    <col min="4" max="4" width="13.83203125" style="50" bestFit="1" customWidth="1"/>
    <col min="5" max="5" width="12.83203125" bestFit="1" customWidth="1"/>
    <col min="6" max="6" width="12" bestFit="1" customWidth="1"/>
    <col min="7" max="7" width="13.83203125" bestFit="1" customWidth="1"/>
    <col min="8" max="8" width="14.1640625" bestFit="1" customWidth="1"/>
    <col min="9" max="9" width="13.33203125" style="30" bestFit="1" customWidth="1"/>
    <col min="10" max="10" width="27.5" style="30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33203125" bestFit="1" customWidth="1"/>
  </cols>
  <sheetData>
    <row r="2" spans="2:14" x14ac:dyDescent="0.2">
      <c r="B2" s="1"/>
      <c r="D2" s="127" t="s">
        <v>12</v>
      </c>
      <c r="E2" s="128"/>
      <c r="F2" s="114"/>
      <c r="G2" s="127" t="s">
        <v>11</v>
      </c>
      <c r="H2" s="114"/>
      <c r="I2" s="119" t="s">
        <v>21</v>
      </c>
      <c r="J2" s="102" t="s">
        <v>39</v>
      </c>
      <c r="K2" s="102" t="s">
        <v>14</v>
      </c>
      <c r="L2" s="102" t="s">
        <v>15</v>
      </c>
      <c r="M2" s="137" t="s">
        <v>16</v>
      </c>
      <c r="N2" s="9" t="s">
        <v>17</v>
      </c>
    </row>
    <row r="3" spans="2:14" x14ac:dyDescent="0.2">
      <c r="B3" s="1"/>
      <c r="D3" s="129"/>
      <c r="E3" s="130"/>
      <c r="F3" s="115"/>
      <c r="G3" s="129"/>
      <c r="H3" s="115"/>
      <c r="I3" s="120"/>
      <c r="J3" s="103"/>
      <c r="K3" s="103"/>
      <c r="L3" s="103"/>
      <c r="M3" s="138"/>
      <c r="N3" s="12" t="s">
        <v>96</v>
      </c>
    </row>
    <row r="4" spans="2:14" x14ac:dyDescent="0.2">
      <c r="B4" s="4" t="s">
        <v>13</v>
      </c>
      <c r="C4" s="9" t="s">
        <v>0</v>
      </c>
      <c r="D4" s="135" t="s">
        <v>3</v>
      </c>
      <c r="E4" s="128" t="s">
        <v>1</v>
      </c>
      <c r="F4" s="114" t="s">
        <v>2</v>
      </c>
      <c r="G4" s="127" t="s">
        <v>4</v>
      </c>
      <c r="H4" s="114" t="s">
        <v>1</v>
      </c>
      <c r="I4" s="119" t="s">
        <v>25</v>
      </c>
      <c r="J4" s="110"/>
      <c r="K4" s="10"/>
      <c r="L4" s="10"/>
      <c r="M4" s="10"/>
      <c r="N4" s="2"/>
    </row>
    <row r="5" spans="2:14" x14ac:dyDescent="0.2">
      <c r="B5" s="5"/>
      <c r="C5" s="10"/>
      <c r="D5" s="136"/>
      <c r="E5" s="130"/>
      <c r="F5" s="115"/>
      <c r="G5" s="129"/>
      <c r="H5" s="115"/>
      <c r="I5" s="120"/>
      <c r="J5" s="111"/>
      <c r="K5" s="10"/>
      <c r="L5" s="10"/>
      <c r="M5" s="10"/>
      <c r="N5" s="2"/>
    </row>
    <row r="6" spans="2:14" ht="19" x14ac:dyDescent="0.25">
      <c r="B6" s="102" t="s">
        <v>5</v>
      </c>
      <c r="C6" s="9" t="s">
        <v>6</v>
      </c>
      <c r="D6" s="55">
        <v>1079208</v>
      </c>
      <c r="E6" s="56">
        <v>127673</v>
      </c>
      <c r="F6" s="57">
        <v>8197</v>
      </c>
      <c r="G6" s="56">
        <v>780191</v>
      </c>
      <c r="H6" s="56">
        <v>123022</v>
      </c>
      <c r="I6" s="85" t="s">
        <v>40</v>
      </c>
      <c r="J6" s="13">
        <f>(D7-D6)/D7</f>
        <v>0.10035937008950491</v>
      </c>
      <c r="K6" s="13">
        <f>(E7-E6)/E7</f>
        <v>-1.224143535586582E-2</v>
      </c>
      <c r="L6" s="13">
        <f>(G7-G6)/G7</f>
        <v>6.7701742373456553E-2</v>
      </c>
      <c r="M6" s="88">
        <f>(H7-H6)/H7</f>
        <v>2.8208510739140394E-2</v>
      </c>
      <c r="N6" s="13">
        <f>(F7-F6)/F7</f>
        <v>-1.9088005677785664</v>
      </c>
    </row>
    <row r="7" spans="2:14" ht="19" x14ac:dyDescent="0.25">
      <c r="B7" s="126"/>
      <c r="C7" s="10" t="s">
        <v>7</v>
      </c>
      <c r="D7" s="59">
        <v>1199599</v>
      </c>
      <c r="E7" s="60">
        <v>126129</v>
      </c>
      <c r="F7" s="61">
        <v>2818</v>
      </c>
      <c r="G7" s="60">
        <v>836847</v>
      </c>
      <c r="H7" s="60">
        <v>126593</v>
      </c>
      <c r="I7" s="86" t="s">
        <v>41</v>
      </c>
      <c r="J7" s="11">
        <f>(D7-D7)/D7</f>
        <v>0</v>
      </c>
      <c r="K7" s="11">
        <f>(E7-E7)/E7</f>
        <v>0</v>
      </c>
      <c r="L7" s="11">
        <f>(G7-G7)/G7</f>
        <v>0</v>
      </c>
      <c r="M7" s="26">
        <f>(H7-H7)/H7</f>
        <v>0</v>
      </c>
      <c r="N7" s="11">
        <f>(F7-F7)/F7</f>
        <v>0</v>
      </c>
    </row>
    <row r="8" spans="2:14" ht="19" x14ac:dyDescent="0.25">
      <c r="B8" s="126"/>
      <c r="C8" s="10" t="s">
        <v>8</v>
      </c>
      <c r="D8" s="59">
        <v>1096175</v>
      </c>
      <c r="E8" s="60">
        <v>103148</v>
      </c>
      <c r="F8" s="61">
        <v>2092</v>
      </c>
      <c r="G8" s="60">
        <v>780738</v>
      </c>
      <c r="H8" s="60">
        <v>126799</v>
      </c>
      <c r="I8" s="86" t="s">
        <v>42</v>
      </c>
      <c r="J8" s="11">
        <f>(D7-D8)/D7</f>
        <v>8.6215477005232577E-2</v>
      </c>
      <c r="K8" s="11">
        <f>(E7-E8)/E7</f>
        <v>0.1822023483893474</v>
      </c>
      <c r="L8" s="11">
        <f>(G7-G8)/G7</f>
        <v>6.7048098397915035E-2</v>
      </c>
      <c r="M8" s="26">
        <f>(H7-H8)/H7</f>
        <v>-1.6272621708941252E-3</v>
      </c>
      <c r="N8" s="29">
        <f>(F7-F8)/F7</f>
        <v>0.25762952448545068</v>
      </c>
    </row>
    <row r="9" spans="2:14" ht="19" x14ac:dyDescent="0.25">
      <c r="B9" s="103"/>
      <c r="C9" s="27" t="s">
        <v>97</v>
      </c>
      <c r="D9" s="63">
        <v>1016128</v>
      </c>
      <c r="E9" s="64">
        <v>100227</v>
      </c>
      <c r="F9" s="65">
        <v>1885</v>
      </c>
      <c r="G9" s="64">
        <v>765192</v>
      </c>
      <c r="H9" s="64">
        <v>127711</v>
      </c>
      <c r="I9" s="87" t="s">
        <v>22</v>
      </c>
      <c r="J9" s="14">
        <f>(D7-D9)/D7</f>
        <v>0.15294360865589252</v>
      </c>
      <c r="K9" s="14">
        <f>(E7-E9)/E7</f>
        <v>0.20536117784173347</v>
      </c>
      <c r="L9" s="14">
        <f>(G7-G9)/G7</f>
        <v>8.5624970872811873E-2</v>
      </c>
      <c r="M9" s="89">
        <f>(H7-H9)/H7</f>
        <v>-8.8314519760176319E-3</v>
      </c>
      <c r="N9" s="14">
        <f>(F7-F9)/F7</f>
        <v>0.33108587650816179</v>
      </c>
    </row>
    <row r="10" spans="2:14" ht="19" x14ac:dyDescent="0.25">
      <c r="B10" s="102" t="s">
        <v>9</v>
      </c>
      <c r="C10" s="9" t="s">
        <v>6</v>
      </c>
      <c r="D10" s="59">
        <v>915871</v>
      </c>
      <c r="E10" s="60">
        <v>121205</v>
      </c>
      <c r="F10" s="61">
        <v>10445</v>
      </c>
      <c r="G10" s="60">
        <v>652211</v>
      </c>
      <c r="H10" s="60">
        <v>128555</v>
      </c>
      <c r="I10" s="86" t="s">
        <v>43</v>
      </c>
      <c r="J10" s="13">
        <f>(D11-D10)/D11</f>
        <v>3.6567213635545999E-2</v>
      </c>
      <c r="K10" s="13">
        <f>(E11-E10)/E11</f>
        <v>-3.9351375454483091E-2</v>
      </c>
      <c r="L10" s="13">
        <f>(G11-G10)/G11</f>
        <v>3.0035380357432327E-2</v>
      </c>
      <c r="M10" s="31">
        <f>(H11-H10)/H11</f>
        <v>1.2808797217081468E-2</v>
      </c>
      <c r="N10" s="13">
        <f>(F11-F10)/F11</f>
        <v>-3.5236032914681679</v>
      </c>
    </row>
    <row r="11" spans="2:14" ht="19" x14ac:dyDescent="0.25">
      <c r="B11" s="126"/>
      <c r="C11" s="10" t="s">
        <v>7</v>
      </c>
      <c r="D11" s="59">
        <v>950633</v>
      </c>
      <c r="E11" s="60">
        <v>116616</v>
      </c>
      <c r="F11" s="61">
        <v>2309</v>
      </c>
      <c r="G11" s="60">
        <v>672407</v>
      </c>
      <c r="H11" s="60">
        <v>130223</v>
      </c>
      <c r="I11" s="86" t="s">
        <v>44</v>
      </c>
      <c r="J11" s="11">
        <f>(D11-D11)/D11</f>
        <v>0</v>
      </c>
      <c r="K11" s="11">
        <f>(E11-E11)/E11</f>
        <v>0</v>
      </c>
      <c r="L11" s="11">
        <f>(G11-G11)/G11</f>
        <v>0</v>
      </c>
      <c r="M11" s="32">
        <f>(H11-H11)/H11</f>
        <v>0</v>
      </c>
      <c r="N11" s="11">
        <f>(F11-F11)/F11</f>
        <v>0</v>
      </c>
    </row>
    <row r="12" spans="2:14" ht="19" x14ac:dyDescent="0.25">
      <c r="B12" s="126"/>
      <c r="C12" s="10" t="s">
        <v>8</v>
      </c>
      <c r="D12" s="59">
        <v>1006006</v>
      </c>
      <c r="E12" s="60">
        <v>103138</v>
      </c>
      <c r="F12" s="61">
        <v>2212</v>
      </c>
      <c r="G12" s="60">
        <v>683369</v>
      </c>
      <c r="H12" s="60">
        <v>133017</v>
      </c>
      <c r="I12" s="86" t="s">
        <v>45</v>
      </c>
      <c r="J12" s="11">
        <f>(D11-D12)/D11</f>
        <v>-5.8248556488150527E-2</v>
      </c>
      <c r="K12" s="11">
        <f>(E11-E12)/E11</f>
        <v>0.11557590725114907</v>
      </c>
      <c r="L12" s="11">
        <f>(G11-G12)/G11</f>
        <v>-1.6302626236788135E-2</v>
      </c>
      <c r="M12" s="32">
        <f>(H11-H12)/H11</f>
        <v>-2.1455503252113681E-2</v>
      </c>
      <c r="N12" s="29">
        <f>(F11-F12)/F11</f>
        <v>4.2009527934170635E-2</v>
      </c>
    </row>
    <row r="13" spans="2:14" ht="19" x14ac:dyDescent="0.25">
      <c r="B13" s="103"/>
      <c r="C13" s="27" t="s">
        <v>97</v>
      </c>
      <c r="D13" s="59" t="s">
        <v>38</v>
      </c>
      <c r="E13" s="60">
        <v>87392</v>
      </c>
      <c r="F13" s="61">
        <v>1766</v>
      </c>
      <c r="G13" s="60" t="s">
        <v>38</v>
      </c>
      <c r="H13" s="60" t="s">
        <v>38</v>
      </c>
      <c r="I13" s="86" t="s">
        <v>38</v>
      </c>
      <c r="J13" s="14" t="e">
        <f>(D11-D13)/D11</f>
        <v>#VALUE!</v>
      </c>
      <c r="K13" s="14">
        <f>(E11-E13)/E11</f>
        <v>0.2506002606846402</v>
      </c>
      <c r="L13" s="14" t="e">
        <f>(G11-G13)/G11</f>
        <v>#VALUE!</v>
      </c>
      <c r="M13" s="33" t="e">
        <f>(H11-H13)/H11</f>
        <v>#VALUE!</v>
      </c>
      <c r="N13" s="14">
        <f>(F11-F13)/F11</f>
        <v>0.23516673884798614</v>
      </c>
    </row>
    <row r="14" spans="2:14" ht="19" x14ac:dyDescent="0.25">
      <c r="B14" s="102" t="s">
        <v>10</v>
      </c>
      <c r="C14" s="9" t="s">
        <v>6</v>
      </c>
      <c r="D14" s="55">
        <v>1888668</v>
      </c>
      <c r="E14" s="56">
        <v>296478</v>
      </c>
      <c r="F14" s="57">
        <v>17304</v>
      </c>
      <c r="G14" s="56">
        <v>1254209</v>
      </c>
      <c r="H14" s="56">
        <v>287298</v>
      </c>
      <c r="I14" s="85" t="s">
        <v>46</v>
      </c>
      <c r="J14" s="13">
        <f>(D15-D14)/D15</f>
        <v>-1.91074416554207E-2</v>
      </c>
      <c r="K14" s="13">
        <f>(E15-E14)/E15</f>
        <v>-4.001824113375662E-2</v>
      </c>
      <c r="L14" s="13">
        <f>(G15-G14)/G15</f>
        <v>-3.4892242896736245E-3</v>
      </c>
      <c r="M14" s="31">
        <f>(H15-H14)/H15</f>
        <v>3.5584966912223749E-3</v>
      </c>
      <c r="N14" s="13">
        <f>(F15-F14)/F15</f>
        <v>-2.6360579953771799</v>
      </c>
    </row>
    <row r="15" spans="2:14" ht="19" x14ac:dyDescent="0.25">
      <c r="B15" s="126"/>
      <c r="C15" s="10" t="s">
        <v>7</v>
      </c>
      <c r="D15" s="59">
        <v>1853257</v>
      </c>
      <c r="E15" s="60">
        <v>285070</v>
      </c>
      <c r="F15" s="61">
        <v>4759</v>
      </c>
      <c r="G15" s="60">
        <v>1249848</v>
      </c>
      <c r="H15" s="60">
        <v>288324</v>
      </c>
      <c r="I15" s="86" t="s">
        <v>47</v>
      </c>
      <c r="J15" s="11">
        <f>(D15-D15)/D15</f>
        <v>0</v>
      </c>
      <c r="K15" s="11">
        <f>(E15-E15)/E15</f>
        <v>0</v>
      </c>
      <c r="L15" s="11">
        <f>(G15-G15)/G15</f>
        <v>0</v>
      </c>
      <c r="M15" s="32">
        <f>(H15-H15)/H15</f>
        <v>0</v>
      </c>
      <c r="N15" s="11">
        <f>(F15-F15)/F15</f>
        <v>0</v>
      </c>
    </row>
    <row r="16" spans="2:14" ht="19" x14ac:dyDescent="0.25">
      <c r="B16" s="126"/>
      <c r="C16" s="10" t="s">
        <v>8</v>
      </c>
      <c r="D16" s="59">
        <v>1882727</v>
      </c>
      <c r="E16" s="60">
        <v>225116</v>
      </c>
      <c r="F16" s="61">
        <v>3573</v>
      </c>
      <c r="G16" s="60">
        <v>1246250</v>
      </c>
      <c r="H16" s="60">
        <v>292077</v>
      </c>
      <c r="I16" s="86" t="s">
        <v>48</v>
      </c>
      <c r="J16" s="11">
        <f>(D15-D16)/D15</f>
        <v>-1.5901734082213098E-2</v>
      </c>
      <c r="K16" s="11">
        <f>(E15-E16)/E15</f>
        <v>0.21031325639316659</v>
      </c>
      <c r="L16" s="11">
        <f>(G15-G16)/G15</f>
        <v>2.8787500560068105E-3</v>
      </c>
      <c r="M16" s="32">
        <f>(H15-H16)/H15</f>
        <v>-1.301660631789237E-2</v>
      </c>
      <c r="N16" s="29">
        <f>(F15-F16)/F15</f>
        <v>0.24921201933179241</v>
      </c>
    </row>
    <row r="17" spans="1:17" ht="19" x14ac:dyDescent="0.25">
      <c r="B17" s="103"/>
      <c r="C17" s="27" t="s">
        <v>97</v>
      </c>
      <c r="D17" s="63">
        <v>1775080</v>
      </c>
      <c r="E17" s="64">
        <v>204675</v>
      </c>
      <c r="F17" s="65">
        <v>4277</v>
      </c>
      <c r="G17" s="64">
        <v>1228574</v>
      </c>
      <c r="H17" s="64">
        <v>290012</v>
      </c>
      <c r="I17" s="87" t="s">
        <v>49</v>
      </c>
      <c r="J17" s="14">
        <f>(D15-D17)/D15</f>
        <v>4.2183571949276327E-2</v>
      </c>
      <c r="K17" s="14">
        <f>(E15-E17)/E15</f>
        <v>0.28201845160837691</v>
      </c>
      <c r="L17" s="14">
        <f>(G15-G17)/G15</f>
        <v>1.7021269786406026E-2</v>
      </c>
      <c r="M17" s="33">
        <f>(H15-H17)/H15</f>
        <v>-5.854524770744024E-3</v>
      </c>
      <c r="N17" s="14">
        <f>(F15-F17)/F15</f>
        <v>0.10128178188695104</v>
      </c>
    </row>
    <row r="18" spans="1:17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</row>
    <row r="19" spans="1:17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</row>
    <row r="20" spans="1:17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</row>
    <row r="21" spans="1:17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</row>
    <row r="22" spans="1:17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</row>
    <row r="23" spans="1:17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</row>
    <row r="24" spans="1:17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7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</row>
    <row r="26" spans="1:17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</row>
    <row r="27" spans="1:17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</row>
    <row r="28" spans="1:17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</row>
    <row r="29" spans="1:17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</row>
    <row r="30" spans="1:17" ht="22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</row>
    <row r="31" spans="1:17" x14ac:dyDescent="0.2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</row>
    <row r="32" spans="1:17" ht="19" customHeight="1" x14ac:dyDescent="0.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</row>
    <row r="33" spans="1:17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</row>
    <row r="34" spans="1:17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</row>
    <row r="35" spans="1:17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</row>
    <row r="36" spans="1:17" x14ac:dyDescent="0.2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</row>
    <row r="37" spans="1:17" x14ac:dyDescent="0.2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</row>
    <row r="38" spans="1:17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</row>
    <row r="39" spans="1:17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</row>
    <row r="40" spans="1:17" x14ac:dyDescent="0.2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</row>
    <row r="41" spans="1:17" x14ac:dyDescent="0.2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</row>
    <row r="42" spans="1:17" x14ac:dyDescent="0.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</row>
    <row r="43" spans="1:17" x14ac:dyDescent="0.2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</row>
    <row r="44" spans="1:17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</row>
    <row r="45" spans="1:17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</row>
    <row r="46" spans="1:17" x14ac:dyDescent="0.2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</row>
    <row r="47" spans="1:17" x14ac:dyDescent="0.2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</row>
    <row r="48" spans="1:17" x14ac:dyDescent="0.2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</row>
    <row r="49" spans="1:17" x14ac:dyDescent="0.2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</row>
    <row r="50" spans="1:17" x14ac:dyDescent="0.2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</row>
    <row r="51" spans="1:17" x14ac:dyDescent="0.2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</row>
    <row r="52" spans="1:17" x14ac:dyDescent="0.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</row>
    <row r="53" spans="1:17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</row>
    <row r="54" spans="1:17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</row>
    <row r="55" spans="1:17" x14ac:dyDescent="0.2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</row>
    <row r="56" spans="1:17" x14ac:dyDescent="0.2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spans="1:17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</row>
    <row r="58" spans="1:17" x14ac:dyDescent="0.2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</row>
    <row r="59" spans="1:17" x14ac:dyDescent="0.2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</row>
    <row r="60" spans="1:17" x14ac:dyDescent="0.2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</row>
    <row r="61" spans="1:17" x14ac:dyDescent="0.2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</row>
    <row r="62" spans="1:17" x14ac:dyDescent="0.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</row>
    <row r="63" spans="1:17" x14ac:dyDescent="0.2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</row>
    <row r="64" spans="1:17" x14ac:dyDescent="0.2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</row>
    <row r="65" spans="1:17" ht="16" customHeight="1" x14ac:dyDescent="0.2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</row>
    <row r="66" spans="1:17" x14ac:dyDescent="0.2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</row>
    <row r="67" spans="1:17" x14ac:dyDescent="0.2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</row>
    <row r="68" spans="1:17" x14ac:dyDescent="0.2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</row>
    <row r="69" spans="1:17" ht="19" customHeight="1" x14ac:dyDescent="0.2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</row>
    <row r="70" spans="1:17" ht="19" customHeight="1" x14ac:dyDescent="0.2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</row>
    <row r="71" spans="1:17" ht="19" customHeight="1" x14ac:dyDescent="0.2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</row>
    <row r="72" spans="1:17" ht="19" customHeight="1" x14ac:dyDescent="0.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</row>
    <row r="73" spans="1:17" ht="19" customHeight="1" x14ac:dyDescent="0.2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</row>
    <row r="74" spans="1:17" ht="19" customHeight="1" x14ac:dyDescent="0.2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</row>
    <row r="75" spans="1:17" ht="19" customHeight="1" x14ac:dyDescent="0.2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</row>
    <row r="76" spans="1:17" ht="19" customHeight="1" x14ac:dyDescent="0.2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</row>
    <row r="77" spans="1:17" ht="19" customHeight="1" x14ac:dyDescent="0.2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</row>
    <row r="78" spans="1:17" ht="19" customHeight="1" x14ac:dyDescent="0.2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</row>
    <row r="79" spans="1:17" ht="19" customHeight="1" x14ac:dyDescent="0.2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</row>
    <row r="80" spans="1:17" ht="19" customHeight="1" x14ac:dyDescent="0.2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</row>
    <row r="81" spans="1:17" ht="19" customHeight="1" x14ac:dyDescent="0.2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</row>
    <row r="82" spans="1:17" ht="19" customHeight="1" x14ac:dyDescent="0.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</row>
    <row r="83" spans="1:17" ht="19" customHeight="1" x14ac:dyDescent="0.2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ht="19" customHeight="1" x14ac:dyDescent="0.2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</row>
    <row r="85" spans="1:17" x14ac:dyDescent="0.2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</row>
    <row r="86" spans="1:17" x14ac:dyDescent="0.2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</row>
  </sheetData>
  <mergeCells count="17">
    <mergeCell ref="B6:B9"/>
    <mergeCell ref="B10:B13"/>
    <mergeCell ref="B14:B17"/>
    <mergeCell ref="D2:F3"/>
    <mergeCell ref="G2:H3"/>
    <mergeCell ref="K2:K3"/>
    <mergeCell ref="L2:L3"/>
    <mergeCell ref="M2:M3"/>
    <mergeCell ref="J2:J3"/>
    <mergeCell ref="I2:I3"/>
    <mergeCell ref="J4:J5"/>
    <mergeCell ref="D4:D5"/>
    <mergeCell ref="E4:E5"/>
    <mergeCell ref="F4:F5"/>
    <mergeCell ref="G4:G5"/>
    <mergeCell ref="H4:H5"/>
    <mergeCell ref="I4:I5"/>
  </mergeCells>
  <conditionalFormatting sqref="J6:N17">
    <cfRule type="cellIs" dxfId="6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BA5F-FE12-204E-9BF1-1B712678EC20}">
  <dimension ref="A2:O57"/>
  <sheetViews>
    <sheetView zoomScale="108" zoomScaleNormal="159" workbookViewId="0">
      <selection activeCell="C17" sqref="C17"/>
    </sheetView>
  </sheetViews>
  <sheetFormatPr baseColWidth="10" defaultRowHeight="16" x14ac:dyDescent="0.2"/>
  <cols>
    <col min="4" max="4" width="18" style="50" bestFit="1" customWidth="1"/>
    <col min="5" max="5" width="13.1640625" bestFit="1" customWidth="1"/>
    <col min="6" max="6" width="11.5" bestFit="1" customWidth="1"/>
    <col min="7" max="7" width="14" bestFit="1" customWidth="1"/>
    <col min="8" max="8" width="13.1640625" bestFit="1" customWidth="1"/>
    <col min="9" max="9" width="15.33203125" style="30" customWidth="1"/>
    <col min="10" max="10" width="27.5" style="30" bestFit="1" customWidth="1"/>
    <col min="11" max="11" width="26.33203125" bestFit="1" customWidth="1"/>
    <col min="12" max="12" width="27.5" bestFit="1" customWidth="1"/>
    <col min="13" max="13" width="26.33203125" bestFit="1" customWidth="1"/>
    <col min="14" max="14" width="19.1640625" bestFit="1" customWidth="1"/>
  </cols>
  <sheetData>
    <row r="2" spans="2:14" x14ac:dyDescent="0.2">
      <c r="B2" s="1"/>
      <c r="D2" s="127" t="s">
        <v>12</v>
      </c>
      <c r="E2" s="128"/>
      <c r="F2" s="114"/>
      <c r="G2" s="128" t="s">
        <v>11</v>
      </c>
      <c r="H2" s="128"/>
      <c r="I2" s="119" t="s">
        <v>21</v>
      </c>
      <c r="J2" s="102" t="s">
        <v>39</v>
      </c>
      <c r="K2" s="102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1"/>
      <c r="D3" s="129"/>
      <c r="E3" s="130"/>
      <c r="F3" s="115"/>
      <c r="G3" s="130"/>
      <c r="H3" s="130"/>
      <c r="I3" s="120"/>
      <c r="J3" s="103"/>
      <c r="K3" s="103"/>
      <c r="L3" s="103"/>
      <c r="M3" s="108"/>
      <c r="N3" s="12" t="s">
        <v>96</v>
      </c>
    </row>
    <row r="4" spans="2:14" x14ac:dyDescent="0.2">
      <c r="B4" s="4" t="s">
        <v>13</v>
      </c>
      <c r="C4" s="9" t="s">
        <v>0</v>
      </c>
      <c r="D4" s="139" t="s">
        <v>3</v>
      </c>
      <c r="E4" s="100" t="s">
        <v>1</v>
      </c>
      <c r="F4" s="140" t="s">
        <v>2</v>
      </c>
      <c r="G4" s="100" t="s">
        <v>4</v>
      </c>
      <c r="H4" s="100" t="s">
        <v>1</v>
      </c>
      <c r="I4" s="119" t="s">
        <v>25</v>
      </c>
      <c r="J4" s="110"/>
      <c r="K4" s="10"/>
      <c r="L4" s="10"/>
      <c r="M4" s="7"/>
      <c r="N4" s="10"/>
    </row>
    <row r="5" spans="2:14" x14ac:dyDescent="0.2">
      <c r="B5" s="5"/>
      <c r="C5" s="10"/>
      <c r="D5" s="136"/>
      <c r="E5" s="130"/>
      <c r="F5" s="115"/>
      <c r="G5" s="130"/>
      <c r="H5" s="130"/>
      <c r="I5" s="120"/>
      <c r="J5" s="111"/>
      <c r="K5" s="12"/>
      <c r="L5" s="12"/>
      <c r="M5" s="8"/>
      <c r="N5" s="10"/>
    </row>
    <row r="6" spans="2:14" ht="19" x14ac:dyDescent="0.25">
      <c r="B6" s="102" t="s">
        <v>5</v>
      </c>
      <c r="C6" s="9" t="s">
        <v>6</v>
      </c>
      <c r="D6" s="55">
        <v>1079208</v>
      </c>
      <c r="E6" s="56">
        <v>127673</v>
      </c>
      <c r="F6" s="57">
        <v>9730</v>
      </c>
      <c r="G6" s="56">
        <v>780191</v>
      </c>
      <c r="H6" s="56">
        <v>123022</v>
      </c>
      <c r="I6" s="71" t="s">
        <v>50</v>
      </c>
      <c r="J6" s="13">
        <f>(D7-D6)/D7</f>
        <v>0.10035937008950491</v>
      </c>
      <c r="K6" s="13">
        <f>(E7-E6)/E7</f>
        <v>-1.224143535586582E-2</v>
      </c>
      <c r="L6" s="13">
        <f>(G7-G6)/G7</f>
        <v>6.7701742373456553E-2</v>
      </c>
      <c r="M6" s="88">
        <f>(H7-H6)/H7</f>
        <v>2.8208510739140394E-2</v>
      </c>
      <c r="N6" s="13">
        <f>(F7-F6)/F7</f>
        <v>-2.2738896366083448</v>
      </c>
    </row>
    <row r="7" spans="2:14" ht="19" x14ac:dyDescent="0.25">
      <c r="B7" s="126"/>
      <c r="C7" s="10" t="s">
        <v>7</v>
      </c>
      <c r="D7" s="59">
        <v>1199599</v>
      </c>
      <c r="E7" s="60">
        <v>126129</v>
      </c>
      <c r="F7" s="61">
        <v>2972</v>
      </c>
      <c r="G7" s="60">
        <v>836847</v>
      </c>
      <c r="H7" s="60">
        <v>126593</v>
      </c>
      <c r="I7" s="72" t="s">
        <v>51</v>
      </c>
      <c r="J7" s="11">
        <f>(D7-D7)/D7</f>
        <v>0</v>
      </c>
      <c r="K7" s="11">
        <f>(E7-E7)/E7</f>
        <v>0</v>
      </c>
      <c r="L7" s="11">
        <f>(G7-G7)/G7</f>
        <v>0</v>
      </c>
      <c r="M7" s="26">
        <f>(H7-H7)/H7</f>
        <v>0</v>
      </c>
      <c r="N7" s="11">
        <f>(F7-F7)/F7</f>
        <v>0</v>
      </c>
    </row>
    <row r="8" spans="2:14" ht="19" x14ac:dyDescent="0.25">
      <c r="B8" s="126"/>
      <c r="C8" s="10" t="s">
        <v>8</v>
      </c>
      <c r="D8" s="59">
        <v>1096175</v>
      </c>
      <c r="E8" s="60">
        <v>103148</v>
      </c>
      <c r="F8" s="61">
        <v>1665</v>
      </c>
      <c r="G8" s="60">
        <v>780738</v>
      </c>
      <c r="H8" s="60">
        <v>126799</v>
      </c>
      <c r="I8" s="72" t="s">
        <v>52</v>
      </c>
      <c r="J8" s="11">
        <f>(D7-D8)/D7</f>
        <v>8.6215477005232577E-2</v>
      </c>
      <c r="K8" s="11">
        <f>(E7-E8)/E7</f>
        <v>0.1822023483893474</v>
      </c>
      <c r="L8" s="11">
        <f>(G7-G8)/G7</f>
        <v>6.7048098397915035E-2</v>
      </c>
      <c r="M8" s="26">
        <f>(H7-H8)/H7</f>
        <v>-1.6272621708941252E-3</v>
      </c>
      <c r="N8" s="29">
        <f>(F7-F8)/F7</f>
        <v>0.43977119784656798</v>
      </c>
    </row>
    <row r="9" spans="2:14" ht="19" x14ac:dyDescent="0.25">
      <c r="B9" s="103"/>
      <c r="C9" s="27" t="s">
        <v>97</v>
      </c>
      <c r="D9" s="63">
        <v>1124637</v>
      </c>
      <c r="E9" s="64">
        <v>104217</v>
      </c>
      <c r="F9" s="65">
        <v>2372</v>
      </c>
      <c r="G9" s="64">
        <v>803901</v>
      </c>
      <c r="H9" s="64">
        <v>126315</v>
      </c>
      <c r="I9" s="73" t="s">
        <v>23</v>
      </c>
      <c r="J9" s="14">
        <f>(D7-D9)/D7</f>
        <v>6.248921514606131E-2</v>
      </c>
      <c r="K9" s="14">
        <f>(E7-E9)/E7</f>
        <v>0.17372689865138072</v>
      </c>
      <c r="L9" s="14">
        <f>(G7-G9)/G7</f>
        <v>3.9369203689563328E-2</v>
      </c>
      <c r="M9" s="89">
        <f>(H7-H9)/H7</f>
        <v>2.1960139976144022E-3</v>
      </c>
      <c r="N9" s="14">
        <f>(F7-F9)/F7</f>
        <v>0.20188425302826379</v>
      </c>
    </row>
    <row r="10" spans="2:14" ht="19" x14ac:dyDescent="0.25">
      <c r="B10" s="102" t="s">
        <v>9</v>
      </c>
      <c r="C10" s="9" t="s">
        <v>6</v>
      </c>
      <c r="D10" s="59">
        <v>915871</v>
      </c>
      <c r="E10" s="60">
        <v>121205</v>
      </c>
      <c r="F10" s="61">
        <v>7826</v>
      </c>
      <c r="G10" s="60">
        <v>652211</v>
      </c>
      <c r="H10" s="60">
        <v>128555</v>
      </c>
      <c r="I10" s="72" t="s">
        <v>53</v>
      </c>
      <c r="J10" s="13">
        <f>(D11-D10)/D11</f>
        <v>3.6567213635545999E-2</v>
      </c>
      <c r="K10" s="13">
        <f>(E11-E10)/E11</f>
        <v>-3.9351375454483091E-2</v>
      </c>
      <c r="L10" s="13">
        <f>(G11-G10)/G11</f>
        <v>3.0035380357432327E-2</v>
      </c>
      <c r="M10" s="31">
        <f>(H11-H10)/H11</f>
        <v>1.2808797217081468E-2</v>
      </c>
      <c r="N10" s="13">
        <f>(F11-F10)/F11</f>
        <v>-2.2635529608006673</v>
      </c>
    </row>
    <row r="11" spans="2:14" ht="19" x14ac:dyDescent="0.25">
      <c r="B11" s="126"/>
      <c r="C11" s="10" t="s">
        <v>7</v>
      </c>
      <c r="D11" s="59">
        <v>950633</v>
      </c>
      <c r="E11" s="60">
        <v>116616</v>
      </c>
      <c r="F11" s="61">
        <v>2398</v>
      </c>
      <c r="G11" s="60">
        <v>672407</v>
      </c>
      <c r="H11" s="60">
        <v>130223</v>
      </c>
      <c r="I11" s="72" t="s">
        <v>54</v>
      </c>
      <c r="J11" s="11">
        <f>(D11-D11)/D11</f>
        <v>0</v>
      </c>
      <c r="K11" s="11">
        <f>(E11-E11)/E11</f>
        <v>0</v>
      </c>
      <c r="L11" s="11">
        <f>(G11-G11)/G11</f>
        <v>0</v>
      </c>
      <c r="M11" s="32">
        <f>(H11-H11)/H11</f>
        <v>0</v>
      </c>
      <c r="N11" s="11">
        <f>(F11-F11)/F11</f>
        <v>0</v>
      </c>
    </row>
    <row r="12" spans="2:14" ht="19" x14ac:dyDescent="0.25">
      <c r="B12" s="126"/>
      <c r="C12" s="10" t="s">
        <v>8</v>
      </c>
      <c r="D12" s="59">
        <v>1006006</v>
      </c>
      <c r="E12" s="60">
        <v>103138</v>
      </c>
      <c r="F12" s="61">
        <v>2383</v>
      </c>
      <c r="G12" s="60">
        <v>683369</v>
      </c>
      <c r="H12" s="60">
        <v>133017</v>
      </c>
      <c r="I12" s="72" t="s">
        <v>55</v>
      </c>
      <c r="J12" s="11">
        <f>(D11-D12)/D11</f>
        <v>-5.8248556488150527E-2</v>
      </c>
      <c r="K12" s="11">
        <f>(E11-E12)/E11</f>
        <v>0.11557590725114907</v>
      </c>
      <c r="L12" s="11">
        <f>(G11-G12)/G11</f>
        <v>-1.6302626236788135E-2</v>
      </c>
      <c r="M12" s="32">
        <f>(H11-H12)/H11</f>
        <v>-2.1455503252113681E-2</v>
      </c>
      <c r="N12" s="29">
        <f>(F11-F12)/F11</f>
        <v>6.255212677231026E-3</v>
      </c>
    </row>
    <row r="13" spans="2:14" ht="19" x14ac:dyDescent="0.25">
      <c r="B13" s="103"/>
      <c r="C13" s="27" t="s">
        <v>97</v>
      </c>
      <c r="D13" s="59">
        <v>895047</v>
      </c>
      <c r="E13" s="60">
        <v>95224</v>
      </c>
      <c r="F13" s="61">
        <v>2049</v>
      </c>
      <c r="G13" s="60">
        <v>648615</v>
      </c>
      <c r="H13" s="60">
        <v>129986</v>
      </c>
      <c r="I13" s="72" t="s">
        <v>56</v>
      </c>
      <c r="J13" s="14">
        <f>(D11-D13)/D11</f>
        <v>5.8472617718930441E-2</v>
      </c>
      <c r="K13" s="14">
        <f>(E11-E13)/E11</f>
        <v>0.18343966522604102</v>
      </c>
      <c r="L13" s="14">
        <f>(G11-G13)/G11</f>
        <v>3.5383331821352247E-2</v>
      </c>
      <c r="M13" s="33">
        <f>(H11-H13)/H11</f>
        <v>1.8199550002687697E-3</v>
      </c>
      <c r="N13" s="14">
        <f>(F11-F13)/F11</f>
        <v>0.14553794829024186</v>
      </c>
    </row>
    <row r="14" spans="2:14" ht="19" x14ac:dyDescent="0.25">
      <c r="B14" s="102" t="s">
        <v>10</v>
      </c>
      <c r="C14" s="9" t="s">
        <v>6</v>
      </c>
      <c r="D14" s="55">
        <v>1888668</v>
      </c>
      <c r="E14" s="56">
        <v>296478</v>
      </c>
      <c r="F14" s="57">
        <v>16128</v>
      </c>
      <c r="G14" s="56">
        <v>1254209</v>
      </c>
      <c r="H14" s="56">
        <v>287298</v>
      </c>
      <c r="I14" s="71" t="s">
        <v>57</v>
      </c>
      <c r="J14" s="13">
        <f>(D15-D14)/D15</f>
        <v>-1.91074416554207E-2</v>
      </c>
      <c r="K14" s="13">
        <f>(E15-E14)/E15</f>
        <v>-4.001824113375662E-2</v>
      </c>
      <c r="L14" s="13">
        <f>(G15-G14)/G15</f>
        <v>-3.4892242896736245E-3</v>
      </c>
      <c r="M14" s="31">
        <f>(H15-H14)/H15</f>
        <v>3.5584966912223749E-3</v>
      </c>
      <c r="N14" s="13">
        <f>(F15-F14)/F15</f>
        <v>-2.4811137491905892</v>
      </c>
    </row>
    <row r="15" spans="2:14" ht="19" x14ac:dyDescent="0.25">
      <c r="B15" s="126"/>
      <c r="C15" s="10" t="s">
        <v>7</v>
      </c>
      <c r="D15" s="59">
        <v>1853257</v>
      </c>
      <c r="E15" s="60">
        <v>285070</v>
      </c>
      <c r="F15" s="61">
        <v>4633</v>
      </c>
      <c r="G15" s="60">
        <v>1249848</v>
      </c>
      <c r="H15" s="60">
        <v>288324</v>
      </c>
      <c r="I15" s="72" t="s">
        <v>58</v>
      </c>
      <c r="J15" s="11">
        <f>(D15-D15)/D15</f>
        <v>0</v>
      </c>
      <c r="K15" s="11">
        <f>(E15-E15)/E15</f>
        <v>0</v>
      </c>
      <c r="L15" s="11">
        <f>(G15-G15)/G15</f>
        <v>0</v>
      </c>
      <c r="M15" s="32">
        <f>(H15-H15)/H15</f>
        <v>0</v>
      </c>
      <c r="N15" s="11">
        <f>(F15-F15)/F15</f>
        <v>0</v>
      </c>
    </row>
    <row r="16" spans="2:14" ht="19" x14ac:dyDescent="0.25">
      <c r="B16" s="126"/>
      <c r="C16" s="10" t="s">
        <v>8</v>
      </c>
      <c r="D16" s="59">
        <v>1882727</v>
      </c>
      <c r="E16" s="60">
        <v>225116</v>
      </c>
      <c r="F16" s="61">
        <v>3592</v>
      </c>
      <c r="G16" s="60">
        <v>1246250</v>
      </c>
      <c r="H16" s="60">
        <v>292077</v>
      </c>
      <c r="I16" s="72" t="s">
        <v>59</v>
      </c>
      <c r="J16" s="11">
        <f>(D15-D16)/D15</f>
        <v>-1.5901734082213098E-2</v>
      </c>
      <c r="K16" s="11">
        <f>(E15-E16)/E15</f>
        <v>0.21031325639316659</v>
      </c>
      <c r="L16" s="11">
        <f>(G15-G16)/G15</f>
        <v>2.8787500560068105E-3</v>
      </c>
      <c r="M16" s="32">
        <f>(H15-H16)/H15</f>
        <v>-1.301660631789237E-2</v>
      </c>
      <c r="N16" s="29">
        <f>(F15-F16)/F15</f>
        <v>0.2246924239153896</v>
      </c>
    </row>
    <row r="17" spans="1:15" ht="19" x14ac:dyDescent="0.25">
      <c r="B17" s="103"/>
      <c r="C17" s="27" t="s">
        <v>97</v>
      </c>
      <c r="D17" s="63">
        <v>1804136</v>
      </c>
      <c r="E17" s="64">
        <v>224008</v>
      </c>
      <c r="F17" s="65">
        <v>4152</v>
      </c>
      <c r="G17" s="64">
        <v>1229297</v>
      </c>
      <c r="H17" s="64">
        <v>288312</v>
      </c>
      <c r="I17" s="73" t="s">
        <v>60</v>
      </c>
      <c r="J17" s="14">
        <f>(D15-D17)/D15</f>
        <v>2.6505228362822857E-2</v>
      </c>
      <c r="K17" s="14">
        <f>(E15-E17)/E15</f>
        <v>0.21420002104746202</v>
      </c>
      <c r="L17" s="14">
        <f>(G15-G17)/G15</f>
        <v>1.6442799444412442E-2</v>
      </c>
      <c r="M17" s="33">
        <f>(H15-H17)/H15</f>
        <v>4.1619844341782163E-5</v>
      </c>
      <c r="N17" s="14">
        <f>(F15-F17)/F15</f>
        <v>0.1038204187351608</v>
      </c>
    </row>
    <row r="18" spans="1:15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22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x14ac:dyDescent="0.2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9" customHeight="1" x14ac:dyDescent="0.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x14ac:dyDescent="0.2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</row>
    <row r="37" spans="1:15" x14ac:dyDescent="0.2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x14ac:dyDescent="0.2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x14ac:dyDescent="0.2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x14ac:dyDescent="0.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x14ac:dyDescent="0.2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</row>
    <row r="46" spans="1:15" x14ac:dyDescent="0.2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</row>
    <row r="47" spans="1:15" x14ac:dyDescent="0.2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</row>
    <row r="48" spans="1:15" x14ac:dyDescent="0.2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</row>
    <row r="49" spans="1:15" x14ac:dyDescent="0.2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</row>
    <row r="50" spans="1:15" x14ac:dyDescent="0.2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</row>
    <row r="51" spans="1:15" x14ac:dyDescent="0.2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</row>
    <row r="52" spans="1:15" x14ac:dyDescent="0.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</row>
    <row r="53" spans="1:15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</row>
    <row r="54" spans="1:15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</row>
    <row r="55" spans="1:15" x14ac:dyDescent="0.2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</row>
    <row r="56" spans="1:15" x14ac:dyDescent="0.2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</row>
    <row r="57" spans="1:15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</row>
  </sheetData>
  <mergeCells count="17">
    <mergeCell ref="L2:L3"/>
    <mergeCell ref="M2:M3"/>
    <mergeCell ref="D4:D5"/>
    <mergeCell ref="E4:E5"/>
    <mergeCell ref="F4:F5"/>
    <mergeCell ref="G4:G5"/>
    <mergeCell ref="H4:H5"/>
    <mergeCell ref="J2:J3"/>
    <mergeCell ref="J4:J5"/>
    <mergeCell ref="K2:K3"/>
    <mergeCell ref="I4:I5"/>
    <mergeCell ref="I2:I3"/>
    <mergeCell ref="D2:F3"/>
    <mergeCell ref="G2:H3"/>
    <mergeCell ref="B6:B9"/>
    <mergeCell ref="B10:B13"/>
    <mergeCell ref="B14:B17"/>
  </mergeCells>
  <conditionalFormatting sqref="J6:N17">
    <cfRule type="cellIs" dxfId="4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6AF4-ACB9-F84E-B354-ADD2817FFF99}">
  <dimension ref="A2:P58"/>
  <sheetViews>
    <sheetView zoomScale="115" workbookViewId="0">
      <selection activeCell="C9" sqref="C9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4.5" style="50" bestFit="1" customWidth="1"/>
    <col min="5" max="5" width="11.5" bestFit="1" customWidth="1"/>
    <col min="6" max="6" width="12" bestFit="1" customWidth="1"/>
    <col min="7" max="7" width="13.83203125" bestFit="1" customWidth="1"/>
    <col min="8" max="8" width="11.5" bestFit="1" customWidth="1"/>
    <col min="9" max="9" width="13" bestFit="1" customWidth="1"/>
    <col min="10" max="10" width="27.5" style="30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2" spans="2:14" x14ac:dyDescent="0.2">
      <c r="B2" s="1"/>
      <c r="D2" s="127" t="s">
        <v>12</v>
      </c>
      <c r="E2" s="128"/>
      <c r="F2" s="128"/>
      <c r="G2" s="127" t="s">
        <v>11</v>
      </c>
      <c r="H2" s="128"/>
      <c r="I2" s="119" t="s">
        <v>21</v>
      </c>
      <c r="J2" s="114" t="s">
        <v>39</v>
      </c>
      <c r="K2" s="102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1"/>
      <c r="D3" s="129"/>
      <c r="E3" s="130"/>
      <c r="F3" s="130"/>
      <c r="G3" s="141"/>
      <c r="H3" s="100"/>
      <c r="I3" s="142"/>
      <c r="J3" s="115"/>
      <c r="K3" s="103"/>
      <c r="L3" s="103"/>
      <c r="M3" s="108"/>
      <c r="N3" s="12" t="s">
        <v>96</v>
      </c>
    </row>
    <row r="4" spans="2:14" x14ac:dyDescent="0.2">
      <c r="B4" s="4" t="s">
        <v>13</v>
      </c>
      <c r="C4" s="6" t="s">
        <v>0</v>
      </c>
      <c r="D4" s="135" t="s">
        <v>3</v>
      </c>
      <c r="E4" s="128" t="s">
        <v>1</v>
      </c>
      <c r="F4" s="128" t="s">
        <v>2</v>
      </c>
      <c r="G4" s="127" t="s">
        <v>4</v>
      </c>
      <c r="H4" s="128" t="s">
        <v>1</v>
      </c>
      <c r="I4" s="119" t="s">
        <v>25</v>
      </c>
      <c r="J4" s="143"/>
      <c r="K4" s="10"/>
      <c r="L4" s="10"/>
      <c r="M4" s="7"/>
      <c r="N4" s="10"/>
    </row>
    <row r="5" spans="2:14" x14ac:dyDescent="0.2">
      <c r="B5" s="5"/>
      <c r="C5" s="7"/>
      <c r="D5" s="139"/>
      <c r="E5" s="100"/>
      <c r="F5" s="100"/>
      <c r="G5" s="129"/>
      <c r="H5" s="130"/>
      <c r="I5" s="120"/>
      <c r="J5" s="144"/>
      <c r="K5" s="12"/>
      <c r="L5" s="12"/>
      <c r="M5" s="8"/>
      <c r="N5" s="10"/>
    </row>
    <row r="6" spans="2:14" ht="19" x14ac:dyDescent="0.25">
      <c r="B6" s="102" t="s">
        <v>5</v>
      </c>
      <c r="C6" s="6" t="s">
        <v>6</v>
      </c>
      <c r="D6" s="55">
        <v>1079208</v>
      </c>
      <c r="E6" s="56">
        <v>127673</v>
      </c>
      <c r="F6" s="56">
        <v>10036</v>
      </c>
      <c r="G6" s="62">
        <v>780191</v>
      </c>
      <c r="H6" s="60">
        <v>123022</v>
      </c>
      <c r="I6" s="74" t="s">
        <v>61</v>
      </c>
      <c r="J6" s="13">
        <f>(D7-D6)/D7</f>
        <v>0.10035937008950491</v>
      </c>
      <c r="K6" s="13">
        <f>(E7-E6)/E7</f>
        <v>-1.224143535586582E-2</v>
      </c>
      <c r="L6" s="13">
        <f>(G7-G6)/G7</f>
        <v>6.7701742373456553E-2</v>
      </c>
      <c r="M6" s="88">
        <f>(H7-H6)/H7</f>
        <v>2.8208510739140394E-2</v>
      </c>
      <c r="N6" s="13">
        <f>(F7-F6)/F7</f>
        <v>-2.3475650433622417</v>
      </c>
    </row>
    <row r="7" spans="2:14" ht="19" x14ac:dyDescent="0.25">
      <c r="B7" s="126"/>
      <c r="C7" s="7" t="s">
        <v>7</v>
      </c>
      <c r="D7" s="59">
        <v>1199599</v>
      </c>
      <c r="E7" s="60">
        <v>126129</v>
      </c>
      <c r="F7" s="60">
        <v>2998</v>
      </c>
      <c r="G7" s="62">
        <v>836847</v>
      </c>
      <c r="H7" s="60">
        <v>126593</v>
      </c>
      <c r="I7" s="74" t="s">
        <v>62</v>
      </c>
      <c r="J7" s="11">
        <f>(D7-D7)/D7</f>
        <v>0</v>
      </c>
      <c r="K7" s="11">
        <f>(E7-E7)/E7</f>
        <v>0</v>
      </c>
      <c r="L7" s="11">
        <f>(G7-G7)/G7</f>
        <v>0</v>
      </c>
      <c r="M7" s="26">
        <f>(H7-H7)/H7</f>
        <v>0</v>
      </c>
      <c r="N7" s="11">
        <f>(F7-F7)/F7</f>
        <v>0</v>
      </c>
    </row>
    <row r="8" spans="2:14" ht="19" x14ac:dyDescent="0.25">
      <c r="B8" s="126"/>
      <c r="C8" s="7" t="s">
        <v>8</v>
      </c>
      <c r="D8" s="59">
        <v>1096175</v>
      </c>
      <c r="E8" s="60">
        <v>103148</v>
      </c>
      <c r="F8" s="60">
        <v>1686</v>
      </c>
      <c r="G8" s="62">
        <v>780738</v>
      </c>
      <c r="H8" s="60">
        <v>126799</v>
      </c>
      <c r="I8" s="74" t="s">
        <v>63</v>
      </c>
      <c r="J8" s="11">
        <f>(D7-D8)/D7</f>
        <v>8.6215477005232577E-2</v>
      </c>
      <c r="K8" s="11">
        <f>(E7-E8)/E7</f>
        <v>0.1822023483893474</v>
      </c>
      <c r="L8" s="11">
        <f>(G7-G8)/G7</f>
        <v>6.7048098397915035E-2</v>
      </c>
      <c r="M8" s="26">
        <f>(H7-H8)/H7</f>
        <v>-1.6272621708941252E-3</v>
      </c>
      <c r="N8" s="29">
        <f>(F7-F8)/F7</f>
        <v>0.43762508338892597</v>
      </c>
    </row>
    <row r="9" spans="2:14" ht="19" x14ac:dyDescent="0.25">
      <c r="B9" s="103"/>
      <c r="C9" s="27" t="s">
        <v>97</v>
      </c>
      <c r="D9" s="63">
        <v>1181852</v>
      </c>
      <c r="E9" s="64">
        <v>102685</v>
      </c>
      <c r="F9" s="64">
        <v>2912</v>
      </c>
      <c r="G9" s="66">
        <v>831367</v>
      </c>
      <c r="H9" s="64">
        <v>125857</v>
      </c>
      <c r="I9" s="75">
        <v>6.5695601851851852E-3</v>
      </c>
      <c r="J9" s="14">
        <f>(D7-D9)/D7</f>
        <v>1.4794110365213709E-2</v>
      </c>
      <c r="K9" s="14">
        <f>(E7-E9)/E7</f>
        <v>0.18587319331795227</v>
      </c>
      <c r="L9" s="14">
        <f>(G7-G9)/G7</f>
        <v>6.5483893710558804E-3</v>
      </c>
      <c r="M9" s="89">
        <f>(H7-H9)/H7</f>
        <v>5.813907562029496E-3</v>
      </c>
      <c r="N9" s="14">
        <f>(F7-F9)/F7</f>
        <v>2.8685790527018012E-2</v>
      </c>
    </row>
    <row r="10" spans="2:14" ht="19" x14ac:dyDescent="0.25">
      <c r="B10" s="102" t="s">
        <v>9</v>
      </c>
      <c r="C10" s="7" t="s">
        <v>6</v>
      </c>
      <c r="D10" s="59">
        <v>915871</v>
      </c>
      <c r="E10" s="60">
        <v>121205</v>
      </c>
      <c r="F10" s="60">
        <v>8479</v>
      </c>
      <c r="G10" s="62">
        <v>652211</v>
      </c>
      <c r="H10" s="60">
        <v>128555</v>
      </c>
      <c r="I10" s="74" t="s">
        <v>64</v>
      </c>
      <c r="J10" s="13">
        <f>(D11-D10)/D11</f>
        <v>3.6567213635545999E-2</v>
      </c>
      <c r="K10" s="13">
        <f>(E11-E10)/E11</f>
        <v>-3.9351375454483091E-2</v>
      </c>
      <c r="L10" s="13">
        <f>(G11-G10)/G11</f>
        <v>3.0035380357432327E-2</v>
      </c>
      <c r="M10" s="31">
        <f>(H11-H10)/H11</f>
        <v>1.2808797217081468E-2</v>
      </c>
      <c r="N10" s="13">
        <f>(F11-F10)/F11</f>
        <v>-2.7026200873362445</v>
      </c>
    </row>
    <row r="11" spans="2:14" ht="19" x14ac:dyDescent="0.25">
      <c r="B11" s="126"/>
      <c r="C11" s="7" t="s">
        <v>7</v>
      </c>
      <c r="D11" s="59">
        <v>950633</v>
      </c>
      <c r="E11" s="60">
        <v>116616</v>
      </c>
      <c r="F11" s="60">
        <v>2290</v>
      </c>
      <c r="G11" s="62">
        <v>672407</v>
      </c>
      <c r="H11" s="60">
        <v>130223</v>
      </c>
      <c r="I11" s="74" t="s">
        <v>65</v>
      </c>
      <c r="J11" s="11">
        <f>(D11-D11)/D11</f>
        <v>0</v>
      </c>
      <c r="K11" s="11">
        <f>(E11-E11)/E11</f>
        <v>0</v>
      </c>
      <c r="L11" s="11">
        <f>(G11-G11)/G11</f>
        <v>0</v>
      </c>
      <c r="M11" s="32">
        <f>(H11-H11)/H11</f>
        <v>0</v>
      </c>
      <c r="N11" s="11">
        <f>(F11-F11)/F11</f>
        <v>0</v>
      </c>
    </row>
    <row r="12" spans="2:14" ht="19" x14ac:dyDescent="0.25">
      <c r="B12" s="126"/>
      <c r="C12" s="7" t="s">
        <v>8</v>
      </c>
      <c r="D12" s="59">
        <v>1006006</v>
      </c>
      <c r="E12" s="60">
        <v>103138</v>
      </c>
      <c r="F12" s="60">
        <v>2242</v>
      </c>
      <c r="G12" s="62">
        <v>683369</v>
      </c>
      <c r="H12" s="60">
        <v>133017</v>
      </c>
      <c r="I12" s="74" t="s">
        <v>66</v>
      </c>
      <c r="J12" s="11">
        <f>(D11-D12)/D11</f>
        <v>-5.8248556488150527E-2</v>
      </c>
      <c r="K12" s="11">
        <f>(E11-E12)/E11</f>
        <v>0.11557590725114907</v>
      </c>
      <c r="L12" s="11">
        <f>(G11-G12)/G11</f>
        <v>-1.6302626236788135E-2</v>
      </c>
      <c r="M12" s="32">
        <f>(H11-H12)/H11</f>
        <v>-2.1455503252113681E-2</v>
      </c>
      <c r="N12" s="29">
        <f>(F11-F12)/F11</f>
        <v>2.0960698689956331E-2</v>
      </c>
    </row>
    <row r="13" spans="2:14" ht="19" x14ac:dyDescent="0.25">
      <c r="B13" s="103"/>
      <c r="C13" s="27" t="s">
        <v>97</v>
      </c>
      <c r="D13" s="59">
        <v>940932</v>
      </c>
      <c r="E13" s="60">
        <v>94655</v>
      </c>
      <c r="F13" s="60">
        <v>2325</v>
      </c>
      <c r="G13" s="62">
        <v>669072</v>
      </c>
      <c r="H13" s="60">
        <v>129774</v>
      </c>
      <c r="I13" s="74" t="s">
        <v>67</v>
      </c>
      <c r="J13" s="14">
        <f>(D11-D13)/D11</f>
        <v>1.0204779341764909E-2</v>
      </c>
      <c r="K13" s="14">
        <f>(E11-E13)/E11</f>
        <v>0.18831892707690198</v>
      </c>
      <c r="L13" s="14">
        <f>(G11-G13)/G11</f>
        <v>4.9597936963773426E-3</v>
      </c>
      <c r="M13" s="33">
        <f>(H11-H13)/H11</f>
        <v>3.4479316249817621E-3</v>
      </c>
      <c r="N13" s="14">
        <f>(F11-F13)/F11</f>
        <v>-1.5283842794759825E-2</v>
      </c>
    </row>
    <row r="14" spans="2:14" ht="19" x14ac:dyDescent="0.25">
      <c r="B14" s="102" t="s">
        <v>10</v>
      </c>
      <c r="C14" s="6" t="s">
        <v>6</v>
      </c>
      <c r="D14" s="55">
        <v>1888668</v>
      </c>
      <c r="E14" s="56">
        <v>296478</v>
      </c>
      <c r="F14" s="56">
        <v>17665</v>
      </c>
      <c r="G14" s="58">
        <v>1254209</v>
      </c>
      <c r="H14" s="56">
        <v>287298</v>
      </c>
      <c r="I14" s="76" t="s">
        <v>68</v>
      </c>
      <c r="J14" s="13">
        <f>(D15-D14)/D15</f>
        <v>-1.91074416554207E-2</v>
      </c>
      <c r="K14" s="13">
        <f>(E15-E14)/E15</f>
        <v>-4.001824113375662E-2</v>
      </c>
      <c r="L14" s="13">
        <f>(G15-G14)/G15</f>
        <v>-3.4892242896736245E-3</v>
      </c>
      <c r="M14" s="31">
        <f>(H15-H14)/H15</f>
        <v>3.5584966912223749E-3</v>
      </c>
      <c r="N14" s="13">
        <f>(F15-F14)/F15</f>
        <v>-2.7545164718384698</v>
      </c>
    </row>
    <row r="15" spans="2:14" ht="19" x14ac:dyDescent="0.25">
      <c r="B15" s="126"/>
      <c r="C15" s="7" t="s">
        <v>7</v>
      </c>
      <c r="D15" s="59">
        <v>1853257</v>
      </c>
      <c r="E15" s="60">
        <v>285070</v>
      </c>
      <c r="F15" s="60">
        <v>4705</v>
      </c>
      <c r="G15" s="62">
        <v>1249848</v>
      </c>
      <c r="H15" s="60">
        <v>288324</v>
      </c>
      <c r="I15" s="74" t="s">
        <v>69</v>
      </c>
      <c r="J15" s="11">
        <f>(D15-D15)/D15</f>
        <v>0</v>
      </c>
      <c r="K15" s="11">
        <f>(E15-E15)/E15</f>
        <v>0</v>
      </c>
      <c r="L15" s="11">
        <f>(G15-G15)/G15</f>
        <v>0</v>
      </c>
      <c r="M15" s="32">
        <f>(H15-H15)/H15</f>
        <v>0</v>
      </c>
      <c r="N15" s="11">
        <f>(F15-F15)/F15</f>
        <v>0</v>
      </c>
    </row>
    <row r="16" spans="2:14" ht="19" x14ac:dyDescent="0.25">
      <c r="B16" s="126"/>
      <c r="C16" s="7" t="s">
        <v>8</v>
      </c>
      <c r="D16" s="59">
        <v>1882727</v>
      </c>
      <c r="E16" s="60">
        <v>225116</v>
      </c>
      <c r="F16" s="60">
        <v>3987</v>
      </c>
      <c r="G16" s="62">
        <v>1246250</v>
      </c>
      <c r="H16" s="60">
        <v>292077</v>
      </c>
      <c r="I16" s="74" t="s">
        <v>70</v>
      </c>
      <c r="J16" s="11">
        <f>(D15-D16)/D15</f>
        <v>-1.5901734082213098E-2</v>
      </c>
      <c r="K16" s="11">
        <f>(E15-E16)/E15</f>
        <v>0.21031325639316659</v>
      </c>
      <c r="L16" s="11">
        <f>(G15-G16)/G15</f>
        <v>2.8787500560068105E-3</v>
      </c>
      <c r="M16" s="32">
        <f>(H15-H16)/H15</f>
        <v>-1.301660631789237E-2</v>
      </c>
      <c r="N16" s="29">
        <f>(F15-F16)/F15</f>
        <v>0.15260361317747079</v>
      </c>
    </row>
    <row r="17" spans="1:16" ht="19" x14ac:dyDescent="0.25">
      <c r="B17" s="103"/>
      <c r="C17" s="27" t="s">
        <v>97</v>
      </c>
      <c r="D17" s="63">
        <v>1837670</v>
      </c>
      <c r="E17" s="64">
        <v>223155</v>
      </c>
      <c r="F17" s="64">
        <v>4788</v>
      </c>
      <c r="G17" s="66">
        <v>1239818</v>
      </c>
      <c r="H17" s="64">
        <v>286507</v>
      </c>
      <c r="I17" s="77" t="s">
        <v>71</v>
      </c>
      <c r="J17" s="14">
        <f>(D15-D17)/D15</f>
        <v>8.4105982062930296E-3</v>
      </c>
      <c r="K17" s="14">
        <f>(E15-E17)/E15</f>
        <v>0.21719226856561547</v>
      </c>
      <c r="L17" s="14">
        <f>(G15-G17)/G15</f>
        <v>8.0249758370617864E-3</v>
      </c>
      <c r="M17" s="33">
        <f>(H15-H17)/H15</f>
        <v>6.301938097418182E-3</v>
      </c>
      <c r="N17" s="14">
        <f>(F15-F17)/F15</f>
        <v>-1.7640807651434644E-2</v>
      </c>
    </row>
    <row r="18" spans="1:16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</row>
    <row r="19" spans="1:16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</row>
    <row r="20" spans="1:16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2" spans="1:16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  <row r="23" spans="1:16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</row>
    <row r="24" spans="1:16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</row>
    <row r="25" spans="1:16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6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</row>
    <row r="27" spans="1:16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</row>
    <row r="28" spans="1:16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</row>
    <row r="29" spans="1:16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</row>
    <row r="30" spans="1:16" ht="22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</row>
    <row r="31" spans="1:16" x14ac:dyDescent="0.2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</row>
    <row r="32" spans="1:16" ht="19" customHeight="1" x14ac:dyDescent="0.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</row>
    <row r="33" spans="1:16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</row>
    <row r="34" spans="1:16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</row>
    <row r="35" spans="1:16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</row>
    <row r="36" spans="1:16" x14ac:dyDescent="0.2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</row>
    <row r="37" spans="1:16" x14ac:dyDescent="0.2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</row>
    <row r="38" spans="1:16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</row>
    <row r="39" spans="1:16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</row>
    <row r="40" spans="1:16" x14ac:dyDescent="0.2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</row>
    <row r="41" spans="1:16" x14ac:dyDescent="0.2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</row>
    <row r="42" spans="1:16" x14ac:dyDescent="0.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</row>
    <row r="43" spans="1:16" x14ac:dyDescent="0.2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</row>
    <row r="44" spans="1:16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</row>
    <row r="45" spans="1:16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</row>
    <row r="46" spans="1:16" x14ac:dyDescent="0.2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</row>
    <row r="47" spans="1:16" x14ac:dyDescent="0.2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</row>
    <row r="48" spans="1:16" x14ac:dyDescent="0.2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</row>
    <row r="49" spans="1:16" x14ac:dyDescent="0.2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</row>
    <row r="50" spans="1:16" x14ac:dyDescent="0.2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</row>
    <row r="51" spans="1:16" x14ac:dyDescent="0.2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</row>
    <row r="52" spans="1:16" x14ac:dyDescent="0.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</row>
    <row r="53" spans="1:16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</row>
    <row r="54" spans="1:16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</row>
    <row r="55" spans="1:16" x14ac:dyDescent="0.2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</row>
    <row r="56" spans="1:16" x14ac:dyDescent="0.2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</row>
    <row r="57" spans="1:16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</row>
    <row r="58" spans="1:16" x14ac:dyDescent="0.2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</row>
  </sheetData>
  <mergeCells count="17">
    <mergeCell ref="I4:I5"/>
    <mergeCell ref="D2:F3"/>
    <mergeCell ref="G2:H3"/>
    <mergeCell ref="K2:K3"/>
    <mergeCell ref="I2:I3"/>
    <mergeCell ref="B6:B9"/>
    <mergeCell ref="B10:B13"/>
    <mergeCell ref="B14:B17"/>
    <mergeCell ref="J2:J3"/>
    <mergeCell ref="J4:J5"/>
    <mergeCell ref="L2:L3"/>
    <mergeCell ref="M2:M3"/>
    <mergeCell ref="D4:D5"/>
    <mergeCell ref="E4:E5"/>
    <mergeCell ref="F4:F5"/>
    <mergeCell ref="G4:G5"/>
    <mergeCell ref="H4:H5"/>
  </mergeCells>
  <conditionalFormatting sqref="J6:N17">
    <cfRule type="cellIs" dxfId="3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1F2D-74CC-F749-825D-4EB77D31DCCA}">
  <dimension ref="A1:O32"/>
  <sheetViews>
    <sheetView topLeftCell="A2" zoomScale="114" workbookViewId="0">
      <selection activeCell="C17" activeCellId="2" sqref="C9 C13 C17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3.83203125" bestFit="1" customWidth="1"/>
    <col min="5" max="5" width="11.33203125" bestFit="1" customWidth="1"/>
    <col min="6" max="6" width="12" bestFit="1" customWidth="1"/>
    <col min="7" max="7" width="13.83203125" bestFit="1" customWidth="1"/>
    <col min="8" max="8" width="11.33203125" bestFit="1" customWidth="1"/>
    <col min="9" max="9" width="21.83203125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50"/>
      <c r="I1" s="25"/>
      <c r="J1" s="30"/>
    </row>
    <row r="2" spans="2:14" x14ac:dyDescent="0.2">
      <c r="B2" s="1"/>
      <c r="D2" s="127" t="s">
        <v>12</v>
      </c>
      <c r="E2" s="128"/>
      <c r="F2" s="114"/>
      <c r="G2" s="127" t="s">
        <v>11</v>
      </c>
      <c r="H2" s="128"/>
      <c r="I2" s="102" t="s">
        <v>24</v>
      </c>
      <c r="J2" s="102" t="s">
        <v>39</v>
      </c>
      <c r="K2" s="102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1"/>
      <c r="D3" s="129"/>
      <c r="E3" s="130"/>
      <c r="F3" s="115"/>
      <c r="G3" s="129"/>
      <c r="H3" s="130"/>
      <c r="I3" s="103"/>
      <c r="J3" s="103"/>
      <c r="K3" s="103"/>
      <c r="L3" s="103"/>
      <c r="M3" s="108"/>
      <c r="N3" s="12" t="s">
        <v>96</v>
      </c>
    </row>
    <row r="4" spans="2:14" x14ac:dyDescent="0.2">
      <c r="B4" s="4" t="s">
        <v>13</v>
      </c>
      <c r="C4" s="9" t="s">
        <v>0</v>
      </c>
      <c r="D4" s="135" t="s">
        <v>3</v>
      </c>
      <c r="E4" s="128" t="s">
        <v>1</v>
      </c>
      <c r="F4" s="114" t="s">
        <v>2</v>
      </c>
      <c r="G4" s="100" t="s">
        <v>4</v>
      </c>
      <c r="H4" s="100" t="s">
        <v>1</v>
      </c>
      <c r="I4" s="119" t="s">
        <v>25</v>
      </c>
      <c r="J4" s="110"/>
      <c r="K4" s="10"/>
      <c r="L4" s="10"/>
      <c r="M4" s="7"/>
      <c r="N4" s="10"/>
    </row>
    <row r="5" spans="2:14" x14ac:dyDescent="0.2">
      <c r="B5" s="5"/>
      <c r="C5" s="10"/>
      <c r="D5" s="136"/>
      <c r="E5" s="130"/>
      <c r="F5" s="115"/>
      <c r="G5" s="130"/>
      <c r="H5" s="130"/>
      <c r="I5" s="120"/>
      <c r="J5" s="111"/>
      <c r="K5" s="12"/>
      <c r="L5" s="12"/>
      <c r="M5" s="8"/>
      <c r="N5" s="10"/>
    </row>
    <row r="6" spans="2:14" ht="19" x14ac:dyDescent="0.25">
      <c r="B6" s="102" t="s">
        <v>5</v>
      </c>
      <c r="C6" s="9" t="s">
        <v>6</v>
      </c>
      <c r="D6" s="70">
        <v>1079208</v>
      </c>
      <c r="E6" s="19">
        <v>127673</v>
      </c>
      <c r="F6" s="28">
        <v>3999</v>
      </c>
      <c r="G6" s="19">
        <v>780191</v>
      </c>
      <c r="H6" s="19">
        <v>123022</v>
      </c>
      <c r="I6" s="82">
        <v>2.9775462962962963E-3</v>
      </c>
      <c r="J6" s="13">
        <f>(D8-D6)/D8</f>
        <v>1.5478367961320044E-2</v>
      </c>
      <c r="K6" s="13">
        <f t="shared" ref="K6" si="0">(E8-E6)/E8</f>
        <v>-0.23776515298406173</v>
      </c>
      <c r="L6" s="13">
        <f>(G8-G6)/G8</f>
        <v>7.0061915777123692E-4</v>
      </c>
      <c r="M6" s="13">
        <f>(H8-H6)/H8</f>
        <v>2.9787301161681087E-2</v>
      </c>
      <c r="N6" s="90">
        <f>(F6-F8)/F8</f>
        <v>2.5452127659574466</v>
      </c>
    </row>
    <row r="7" spans="2:14" ht="19" x14ac:dyDescent="0.25">
      <c r="B7" s="126"/>
      <c r="C7" s="10" t="s">
        <v>7</v>
      </c>
      <c r="D7" s="48">
        <v>1199599</v>
      </c>
      <c r="E7" s="18">
        <v>126129</v>
      </c>
      <c r="F7" s="20">
        <v>1677</v>
      </c>
      <c r="G7" s="18">
        <v>836847</v>
      </c>
      <c r="H7" s="18">
        <v>126593</v>
      </c>
      <c r="I7" s="78">
        <v>2.6468749999999999E-3</v>
      </c>
      <c r="J7" s="11">
        <f>(D8-D7)/D8</f>
        <v>-9.4349898510730501E-2</v>
      </c>
      <c r="K7" s="11">
        <f t="shared" ref="K7" si="1">(E8-E7)/E8</f>
        <v>-0.22279637026408655</v>
      </c>
      <c r="L7" s="11">
        <f>(G8-G7)/G8</f>
        <v>-7.186661850710481E-2</v>
      </c>
      <c r="M7" s="11">
        <f>(H8-H7)/H8</f>
        <v>1.6246184906821032E-3</v>
      </c>
      <c r="N7" s="11">
        <f>(F7-F8)/F8</f>
        <v>0.48670212765957449</v>
      </c>
    </row>
    <row r="8" spans="2:14" ht="19" x14ac:dyDescent="0.25">
      <c r="B8" s="126"/>
      <c r="C8" s="10" t="s">
        <v>8</v>
      </c>
      <c r="D8" s="48">
        <v>1096175</v>
      </c>
      <c r="E8" s="18">
        <v>103148</v>
      </c>
      <c r="F8" s="20">
        <v>1128</v>
      </c>
      <c r="G8" s="18">
        <v>780738</v>
      </c>
      <c r="H8" s="18">
        <v>126799</v>
      </c>
      <c r="I8" s="78">
        <v>2.9739583333333332E-3</v>
      </c>
      <c r="J8" s="11">
        <f>(D8-D8)/D8</f>
        <v>0</v>
      </c>
      <c r="K8" s="11">
        <f t="shared" ref="K8" si="2">(E8-E8)/E8</f>
        <v>0</v>
      </c>
      <c r="L8" s="11">
        <f>(G8-G8)/G8</f>
        <v>0</v>
      </c>
      <c r="M8" s="11">
        <f>(H8-H8)/H8</f>
        <v>0</v>
      </c>
      <c r="N8" s="11">
        <f>(F8-F8)/F8</f>
        <v>0</v>
      </c>
    </row>
    <row r="9" spans="2:14" ht="19" x14ac:dyDescent="0.25">
      <c r="B9" s="103"/>
      <c r="C9" s="27" t="s">
        <v>97</v>
      </c>
      <c r="D9" s="49">
        <v>1044894</v>
      </c>
      <c r="E9" s="21">
        <v>122821</v>
      </c>
      <c r="F9" s="22">
        <v>820</v>
      </c>
      <c r="G9" s="21">
        <v>766566</v>
      </c>
      <c r="H9" s="21">
        <v>129205</v>
      </c>
      <c r="I9" s="75">
        <v>4.5452546296296291E-3</v>
      </c>
      <c r="J9" s="14">
        <f>(D8-D9)/D8</f>
        <v>4.6781763860697427E-2</v>
      </c>
      <c r="K9" s="14">
        <f t="shared" ref="K9" si="3">(E8-E9)/E8</f>
        <v>-0.19072594718268895</v>
      </c>
      <c r="L9" s="14">
        <f>(G8-G9)/G8</f>
        <v>1.8152056131506344E-2</v>
      </c>
      <c r="M9" s="14">
        <f>(H8-H9)/H8</f>
        <v>-1.8974913051364759E-2</v>
      </c>
      <c r="N9" s="14">
        <f>(F8-F9)/F8</f>
        <v>0.27304964539007093</v>
      </c>
    </row>
    <row r="10" spans="2:14" ht="19" x14ac:dyDescent="0.25">
      <c r="B10" s="102" t="s">
        <v>9</v>
      </c>
      <c r="C10" s="9" t="s">
        <v>6</v>
      </c>
      <c r="D10" s="48">
        <v>915871</v>
      </c>
      <c r="E10" s="18">
        <v>121205</v>
      </c>
      <c r="F10" s="20">
        <v>3180</v>
      </c>
      <c r="G10" s="18">
        <v>652211</v>
      </c>
      <c r="H10" s="18">
        <v>128555</v>
      </c>
      <c r="I10" s="78">
        <v>5.0027777777777779E-3</v>
      </c>
      <c r="J10" s="13">
        <f>(D12-D10)/D12</f>
        <v>8.9596881131921685E-2</v>
      </c>
      <c r="K10" s="13">
        <f t="shared" ref="K10" si="4">(E12-E10)/E12</f>
        <v>-0.17517306909189628</v>
      </c>
      <c r="L10" s="13">
        <f>(G12-G10)/G12</f>
        <v>4.5594693350151969E-2</v>
      </c>
      <c r="M10" s="13">
        <f>(H12-H10)/H12</f>
        <v>3.3544584526789809E-2</v>
      </c>
      <c r="N10" s="90">
        <f>(F10-F12)/F12</f>
        <v>0.33389261744966442</v>
      </c>
    </row>
    <row r="11" spans="2:14" ht="19" x14ac:dyDescent="0.25">
      <c r="B11" s="126"/>
      <c r="C11" s="10" t="s">
        <v>7</v>
      </c>
      <c r="D11" s="48">
        <v>950633</v>
      </c>
      <c r="E11" s="18">
        <v>116616</v>
      </c>
      <c r="F11" s="20">
        <v>1304</v>
      </c>
      <c r="G11" s="18">
        <v>672407</v>
      </c>
      <c r="H11" s="18">
        <v>130223</v>
      </c>
      <c r="I11" s="78">
        <v>8.4591435185185186E-3</v>
      </c>
      <c r="J11" s="11">
        <f>(D12-D11)/D12</f>
        <v>5.5042415253984567E-2</v>
      </c>
      <c r="K11" s="11">
        <f t="shared" ref="K11" si="5">(E12-E11)/E12</f>
        <v>-0.13067928406600865</v>
      </c>
      <c r="L11" s="11">
        <f>(G12-G11)/G12</f>
        <v>1.6041113951613256E-2</v>
      </c>
      <c r="M11" s="11">
        <f>(H12-H11)/H12</f>
        <v>2.1004833968590479E-2</v>
      </c>
      <c r="N11" s="11">
        <f>(F11-F12)/F12</f>
        <v>-0.45302013422818793</v>
      </c>
    </row>
    <row r="12" spans="2:14" ht="19" x14ac:dyDescent="0.25">
      <c r="B12" s="126"/>
      <c r="C12" s="10" t="s">
        <v>8</v>
      </c>
      <c r="D12" s="48">
        <v>1006006</v>
      </c>
      <c r="E12" s="18">
        <v>103138</v>
      </c>
      <c r="F12" s="20">
        <v>2384</v>
      </c>
      <c r="G12" s="18">
        <v>683369</v>
      </c>
      <c r="H12" s="18">
        <v>133017</v>
      </c>
      <c r="I12" s="78">
        <v>1.3631365740740741E-2</v>
      </c>
      <c r="J12" s="11">
        <f>(D12-D12)/D12</f>
        <v>0</v>
      </c>
      <c r="K12" s="11">
        <f t="shared" ref="K12" si="6">(E12-E12)/E12</f>
        <v>0</v>
      </c>
      <c r="L12" s="11">
        <f>(G12-G12)/G12</f>
        <v>0</v>
      </c>
      <c r="M12" s="11">
        <f>(H12-H12)/H12</f>
        <v>0</v>
      </c>
      <c r="N12" s="11">
        <f>(F12-F12)/F12</f>
        <v>0</v>
      </c>
    </row>
    <row r="13" spans="2:14" ht="19" x14ac:dyDescent="0.25">
      <c r="B13" s="103"/>
      <c r="C13" s="27" t="s">
        <v>97</v>
      </c>
      <c r="D13" s="48">
        <v>917016</v>
      </c>
      <c r="E13" s="18">
        <v>120555</v>
      </c>
      <c r="F13" s="20">
        <v>1449</v>
      </c>
      <c r="G13" s="18">
        <v>652786</v>
      </c>
      <c r="H13" s="18">
        <v>133018</v>
      </c>
      <c r="I13" s="78">
        <v>1.0778819444444443E-2</v>
      </c>
      <c r="J13" s="14">
        <f>(D12-D13)/D12</f>
        <v>8.8458716946022184E-2</v>
      </c>
      <c r="K13" s="14">
        <f t="shared" ref="K13" si="7">(E12-E13)/E12</f>
        <v>-0.16887083325253543</v>
      </c>
      <c r="L13" s="14">
        <f>(G12-G13)/G12</f>
        <v>4.4753273853511064E-2</v>
      </c>
      <c r="M13" s="14">
        <f>(H12-H13)/H12</f>
        <v>-7.5178360660667432E-6</v>
      </c>
      <c r="N13" s="14">
        <f>(F12-F13)/F12</f>
        <v>0.39219798657718119</v>
      </c>
    </row>
    <row r="14" spans="2:14" ht="19" x14ac:dyDescent="0.25">
      <c r="B14" s="102" t="s">
        <v>10</v>
      </c>
      <c r="C14" s="9" t="s">
        <v>6</v>
      </c>
      <c r="D14" s="70">
        <v>1888668</v>
      </c>
      <c r="E14" s="19">
        <v>296478</v>
      </c>
      <c r="F14" s="28">
        <v>10470</v>
      </c>
      <c r="G14" s="19">
        <v>1254209</v>
      </c>
      <c r="H14" s="19">
        <v>287298</v>
      </c>
      <c r="I14" s="82">
        <v>1.0240740740740739E-2</v>
      </c>
      <c r="J14" s="13">
        <f>(D16-D14)/D16</f>
        <v>-3.1555291871843342E-3</v>
      </c>
      <c r="K14" s="13">
        <f t="shared" ref="K14" si="8">(E16-E14)/E16</f>
        <v>-0.31700101281117293</v>
      </c>
      <c r="L14" s="13">
        <f>(G16-G14)/G16</f>
        <v>-6.3863590772316953E-3</v>
      </c>
      <c r="M14" s="13">
        <f>(H16-H14)/H16</f>
        <v>1.6362123686562105E-2</v>
      </c>
      <c r="N14" s="90">
        <f>(F14-F16)/F16</f>
        <v>2.0233901241697949</v>
      </c>
    </row>
    <row r="15" spans="2:14" ht="19" x14ac:dyDescent="0.25">
      <c r="B15" s="126"/>
      <c r="C15" s="10" t="s">
        <v>7</v>
      </c>
      <c r="D15" s="48">
        <v>1853257</v>
      </c>
      <c r="E15" s="18">
        <v>285070</v>
      </c>
      <c r="F15" s="20">
        <v>3446</v>
      </c>
      <c r="G15" s="18">
        <v>1249848</v>
      </c>
      <c r="H15" s="18">
        <v>288324</v>
      </c>
      <c r="I15" s="78">
        <v>9.4061342592592599E-3</v>
      </c>
      <c r="J15" s="11">
        <f>(D16-D15)/D16</f>
        <v>1.5652826989786622E-2</v>
      </c>
      <c r="K15" s="11">
        <f t="shared" ref="K15" si="9">(E16-E15)/E16</f>
        <v>-0.26632491693171523</v>
      </c>
      <c r="L15" s="11">
        <f>(G16-G15)/G16</f>
        <v>-2.8870611835506519E-3</v>
      </c>
      <c r="M15" s="11">
        <f>(H16-H15)/H16</f>
        <v>1.2849351369673065E-2</v>
      </c>
      <c r="N15" s="11">
        <f>(F15-F16)/F16</f>
        <v>-4.9090384060063528E-3</v>
      </c>
    </row>
    <row r="16" spans="2:14" ht="19" x14ac:dyDescent="0.25">
      <c r="B16" s="126"/>
      <c r="C16" s="10" t="s">
        <v>8</v>
      </c>
      <c r="D16" s="48">
        <v>1882727</v>
      </c>
      <c r="E16" s="18">
        <v>225116</v>
      </c>
      <c r="F16" s="20">
        <v>3463</v>
      </c>
      <c r="G16" s="18">
        <v>1246250</v>
      </c>
      <c r="H16" s="18">
        <v>292077</v>
      </c>
      <c r="I16" s="78">
        <v>1.1547569444444445E-2</v>
      </c>
      <c r="J16" s="11">
        <f>(D16-D16)/D16</f>
        <v>0</v>
      </c>
      <c r="K16" s="11">
        <f t="shared" ref="K16" si="10">(E16-E16)/E16</f>
        <v>0</v>
      </c>
      <c r="L16" s="11">
        <f>(G16-G16)/G16</f>
        <v>0</v>
      </c>
      <c r="M16" s="11">
        <f>(H16-H16)/H16</f>
        <v>0</v>
      </c>
      <c r="N16" s="11">
        <f>(F16-F16)/F16</f>
        <v>0</v>
      </c>
    </row>
    <row r="17" spans="1:15" ht="19" x14ac:dyDescent="0.25">
      <c r="B17" s="103"/>
      <c r="C17" s="27" t="s">
        <v>97</v>
      </c>
      <c r="D17" s="49">
        <v>1850103</v>
      </c>
      <c r="E17" s="21">
        <v>283873</v>
      </c>
      <c r="F17" s="22">
        <v>3904</v>
      </c>
      <c r="G17" s="21">
        <v>1239269</v>
      </c>
      <c r="H17" s="21">
        <v>295652</v>
      </c>
      <c r="I17" s="75">
        <v>1.4223495370370371E-2</v>
      </c>
      <c r="J17" s="14">
        <f>(D16-D17)/D16</f>
        <v>1.7328056590254454E-2</v>
      </c>
      <c r="K17" s="14">
        <f t="shared" ref="K17" si="11">(E16-E17)/E16</f>
        <v>-0.26100765827395656</v>
      </c>
      <c r="L17" s="14">
        <f>(G16-G17)/G16</f>
        <v>5.6016048144433301E-3</v>
      </c>
      <c r="M17" s="14">
        <f>(H16-H17)/H16</f>
        <v>-1.223992303399446E-2</v>
      </c>
      <c r="N17" s="14">
        <f>(F16-F17)/F16</f>
        <v>-0.12734623159110597</v>
      </c>
    </row>
    <row r="18" spans="1:15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22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2" spans="1:15" ht="19" customHeight="1" x14ac:dyDescent="0.2"/>
  </sheetData>
  <mergeCells count="17">
    <mergeCell ref="D2:F3"/>
    <mergeCell ref="G2:H3"/>
    <mergeCell ref="K2:K3"/>
    <mergeCell ref="I4:I5"/>
    <mergeCell ref="I2:I3"/>
    <mergeCell ref="B6:B9"/>
    <mergeCell ref="B10:B13"/>
    <mergeCell ref="B14:B17"/>
    <mergeCell ref="J2:J3"/>
    <mergeCell ref="J4:J5"/>
    <mergeCell ref="L2:L3"/>
    <mergeCell ref="M2:M3"/>
    <mergeCell ref="D4:D5"/>
    <mergeCell ref="E4:E5"/>
    <mergeCell ref="F4:F5"/>
    <mergeCell ref="G4:G5"/>
    <mergeCell ref="H4:H5"/>
  </mergeCells>
  <conditionalFormatting sqref="J6:N17">
    <cfRule type="cellIs" dxfId="2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2410-D546-CD46-9F2D-907A1EB52906}">
  <dimension ref="A1:P32"/>
  <sheetViews>
    <sheetView topLeftCell="A2" zoomScale="120" workbookViewId="0">
      <selection activeCell="C9" activeCellId="2" sqref="C17 C13 C9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3.83203125" bestFit="1" customWidth="1"/>
    <col min="5" max="5" width="11.5" bestFit="1" customWidth="1"/>
    <col min="6" max="6" width="12" bestFit="1" customWidth="1"/>
    <col min="7" max="7" width="13.83203125" bestFit="1" customWidth="1"/>
    <col min="9" max="9" width="13" bestFit="1" customWidth="1"/>
    <col min="10" max="10" width="27.5" bestFit="1" customWidth="1"/>
    <col min="11" max="11" width="26.33203125" bestFit="1" customWidth="1"/>
    <col min="12" max="12" width="27.5" bestFit="1" customWidth="1"/>
    <col min="13" max="13" width="26.33203125" bestFit="1" customWidth="1"/>
    <col min="14" max="14" width="19.1640625" bestFit="1" customWidth="1"/>
  </cols>
  <sheetData>
    <row r="1" spans="2:14" x14ac:dyDescent="0.2">
      <c r="J1" s="30"/>
    </row>
    <row r="2" spans="2:14" x14ac:dyDescent="0.2">
      <c r="B2" s="1"/>
      <c r="D2" s="127" t="s">
        <v>12</v>
      </c>
      <c r="E2" s="128"/>
      <c r="F2" s="114"/>
      <c r="G2" s="127" t="s">
        <v>11</v>
      </c>
      <c r="H2" s="128"/>
      <c r="I2" s="102" t="s">
        <v>21</v>
      </c>
      <c r="J2" s="102" t="s">
        <v>39</v>
      </c>
      <c r="K2" s="114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1"/>
      <c r="D3" s="129"/>
      <c r="E3" s="130"/>
      <c r="F3" s="115"/>
      <c r="G3" s="129"/>
      <c r="H3" s="130"/>
      <c r="I3" s="103"/>
      <c r="J3" s="103"/>
      <c r="K3" s="115"/>
      <c r="L3" s="103"/>
      <c r="M3" s="108"/>
      <c r="N3" s="12" t="s">
        <v>96</v>
      </c>
    </row>
    <row r="4" spans="2:14" x14ac:dyDescent="0.2">
      <c r="B4" s="4" t="s">
        <v>13</v>
      </c>
      <c r="C4" s="6" t="s">
        <v>0</v>
      </c>
      <c r="D4" s="141" t="s">
        <v>3</v>
      </c>
      <c r="E4" s="100" t="s">
        <v>1</v>
      </c>
      <c r="F4" s="140" t="s">
        <v>2</v>
      </c>
      <c r="G4" s="141" t="s">
        <v>4</v>
      </c>
      <c r="H4" s="100" t="s">
        <v>1</v>
      </c>
      <c r="I4" s="102" t="s">
        <v>25</v>
      </c>
      <c r="J4" s="110"/>
      <c r="K4" s="2"/>
      <c r="L4" s="10"/>
      <c r="M4" s="7"/>
      <c r="N4" s="10"/>
    </row>
    <row r="5" spans="2:14" x14ac:dyDescent="0.2">
      <c r="B5" s="5"/>
      <c r="C5" s="7"/>
      <c r="D5" s="141"/>
      <c r="E5" s="100"/>
      <c r="F5" s="140"/>
      <c r="G5" s="141"/>
      <c r="H5" s="100"/>
      <c r="I5" s="126"/>
      <c r="J5" s="111"/>
      <c r="K5" s="3"/>
      <c r="L5" s="12"/>
      <c r="M5" s="8"/>
      <c r="N5" s="10"/>
    </row>
    <row r="6" spans="2:14" ht="19" x14ac:dyDescent="0.25">
      <c r="B6" s="102" t="s">
        <v>5</v>
      </c>
      <c r="C6" s="6" t="s">
        <v>6</v>
      </c>
      <c r="D6" s="55">
        <v>1079208</v>
      </c>
      <c r="E6" s="56">
        <v>127673</v>
      </c>
      <c r="F6" s="57">
        <v>5276</v>
      </c>
      <c r="G6" s="58">
        <v>780191</v>
      </c>
      <c r="H6" s="56">
        <v>123022</v>
      </c>
      <c r="I6" s="82">
        <v>5.3707175925925919E-3</v>
      </c>
      <c r="J6" s="13">
        <f>(D8-D6)/D8</f>
        <v>1.5478367961320044E-2</v>
      </c>
      <c r="K6" s="13">
        <f t="shared" ref="K6" si="0">(E8-E6)/E8</f>
        <v>-0.23776515298406173</v>
      </c>
      <c r="L6" s="13">
        <f>(G8-G6)/G8</f>
        <v>7.0061915777123692E-4</v>
      </c>
      <c r="M6" s="13">
        <f>(H8-H6)/H8</f>
        <v>2.9787301161681087E-2</v>
      </c>
      <c r="N6" s="90">
        <f>(F6-F8)/F8</f>
        <v>2.1975757575757577</v>
      </c>
    </row>
    <row r="7" spans="2:14" ht="19" x14ac:dyDescent="0.25">
      <c r="B7" s="126"/>
      <c r="C7" s="7" t="s">
        <v>7</v>
      </c>
      <c r="D7" s="59">
        <v>1199599</v>
      </c>
      <c r="E7" s="60">
        <v>126129</v>
      </c>
      <c r="F7" s="61">
        <v>2892</v>
      </c>
      <c r="G7" s="62">
        <v>836847</v>
      </c>
      <c r="H7" s="60">
        <v>126593</v>
      </c>
      <c r="I7" s="78">
        <v>6.170486111111111E-3</v>
      </c>
      <c r="J7" s="11">
        <f>(D8-D7)/D8</f>
        <v>-9.4349898510730501E-2</v>
      </c>
      <c r="K7" s="11">
        <f t="shared" ref="K7" si="1">(E8-E7)/E8</f>
        <v>-0.22279637026408655</v>
      </c>
      <c r="L7" s="11">
        <f>(G8-G7)/G8</f>
        <v>-7.186661850710481E-2</v>
      </c>
      <c r="M7" s="11">
        <f>(H8-H7)/H8</f>
        <v>1.6246184906821032E-3</v>
      </c>
      <c r="N7" s="11">
        <f>(F7-F8)/F8</f>
        <v>0.75272727272727269</v>
      </c>
    </row>
    <row r="8" spans="2:14" ht="19" x14ac:dyDescent="0.25">
      <c r="B8" s="126"/>
      <c r="C8" s="7" t="s">
        <v>8</v>
      </c>
      <c r="D8" s="59">
        <v>1096175</v>
      </c>
      <c r="E8" s="60">
        <v>103148</v>
      </c>
      <c r="F8" s="61">
        <v>1650</v>
      </c>
      <c r="G8" s="62">
        <v>780738</v>
      </c>
      <c r="H8" s="60">
        <v>126799</v>
      </c>
      <c r="I8" s="78">
        <v>5.5260416666666669E-3</v>
      </c>
      <c r="J8" s="11">
        <f>(D8-D8)/D8</f>
        <v>0</v>
      </c>
      <c r="K8" s="11">
        <f t="shared" ref="K8" si="2">(E8-E8)/E8</f>
        <v>0</v>
      </c>
      <c r="L8" s="11">
        <f>(G8-G8)/G8</f>
        <v>0</v>
      </c>
      <c r="M8" s="11">
        <f>(H8-H8)/H8</f>
        <v>0</v>
      </c>
      <c r="N8" s="11">
        <f>(F8-F8)/F8</f>
        <v>0</v>
      </c>
    </row>
    <row r="9" spans="2:14" ht="19" x14ac:dyDescent="0.25">
      <c r="B9" s="103"/>
      <c r="C9" s="27" t="s">
        <v>97</v>
      </c>
      <c r="D9" s="63">
        <v>1079194</v>
      </c>
      <c r="E9" s="21">
        <v>127673</v>
      </c>
      <c r="F9" s="65">
        <v>7858</v>
      </c>
      <c r="G9" s="66">
        <v>780339</v>
      </c>
      <c r="H9" s="64">
        <v>123302</v>
      </c>
      <c r="I9" s="75">
        <v>6.9196759259259263E-3</v>
      </c>
      <c r="J9" s="14">
        <f>(D8-D9)/D8</f>
        <v>1.5491139644673524E-2</v>
      </c>
      <c r="K9" s="14">
        <f t="shared" ref="K9" si="3">(E8-E9)/E8</f>
        <v>-0.23776515298406173</v>
      </c>
      <c r="L9" s="14">
        <f>(G8-G9)/G8</f>
        <v>5.1105492495561887E-4</v>
      </c>
      <c r="M9" s="14">
        <f>(H8-H9)/H8</f>
        <v>2.757908185395784E-2</v>
      </c>
      <c r="N9" s="14">
        <f>(F8-F9)/F8</f>
        <v>-3.7624242424242422</v>
      </c>
    </row>
    <row r="10" spans="2:14" ht="19" x14ac:dyDescent="0.25">
      <c r="B10" s="102" t="s">
        <v>9</v>
      </c>
      <c r="C10" s="7" t="s">
        <v>6</v>
      </c>
      <c r="D10" s="59">
        <v>915871</v>
      </c>
      <c r="E10" s="60">
        <v>121205</v>
      </c>
      <c r="F10" s="61">
        <v>6822</v>
      </c>
      <c r="G10" s="62">
        <v>652211</v>
      </c>
      <c r="H10" s="60">
        <v>128555</v>
      </c>
      <c r="I10" s="78">
        <v>1.0470138888888888E-2</v>
      </c>
      <c r="J10" s="13">
        <f>(D12-D10)/D12</f>
        <v>8.9596881131921685E-2</v>
      </c>
      <c r="K10" s="13">
        <f t="shared" ref="K10" si="4">(E12-E10)/E12</f>
        <v>-0.17517306909189628</v>
      </c>
      <c r="L10" s="13">
        <f>(G12-G10)/G12</f>
        <v>4.5594693350151969E-2</v>
      </c>
      <c r="M10" s="13">
        <f>(H12-H10)/H12</f>
        <v>3.3544584526789809E-2</v>
      </c>
      <c r="N10" s="90">
        <f>(F10-F12)/F12</f>
        <v>2.448938321536906</v>
      </c>
    </row>
    <row r="11" spans="2:14" ht="19" x14ac:dyDescent="0.25">
      <c r="B11" s="126"/>
      <c r="C11" s="7" t="s">
        <v>7</v>
      </c>
      <c r="D11" s="59">
        <v>950633</v>
      </c>
      <c r="E11" s="60">
        <v>116616</v>
      </c>
      <c r="F11" s="61">
        <v>2209</v>
      </c>
      <c r="G11" s="62">
        <v>672407</v>
      </c>
      <c r="H11" s="60">
        <v>130223</v>
      </c>
      <c r="I11" s="78">
        <v>1.2127893518518517E-2</v>
      </c>
      <c r="J11" s="11">
        <f>(D12-D11)/D12</f>
        <v>5.5042415253984567E-2</v>
      </c>
      <c r="K11" s="11">
        <f t="shared" ref="K11" si="5">(E12-E11)/E12</f>
        <v>-0.13067928406600865</v>
      </c>
      <c r="L11" s="11">
        <f>(G12-G11)/G12</f>
        <v>1.6041113951613256E-2</v>
      </c>
      <c r="M11" s="11">
        <f>(H12-H11)/H12</f>
        <v>2.1004833968590479E-2</v>
      </c>
      <c r="N11" s="11">
        <f>(F11-F12)/F12</f>
        <v>0.11678463094034378</v>
      </c>
    </row>
    <row r="12" spans="2:14" ht="19" x14ac:dyDescent="0.25">
      <c r="B12" s="126"/>
      <c r="C12" s="7" t="s">
        <v>8</v>
      </c>
      <c r="D12" s="59">
        <v>1006006</v>
      </c>
      <c r="E12" s="60">
        <v>103138</v>
      </c>
      <c r="F12" s="61">
        <v>1978</v>
      </c>
      <c r="G12" s="62">
        <v>683369</v>
      </c>
      <c r="H12" s="60">
        <v>133017</v>
      </c>
      <c r="I12" s="78">
        <v>1.6287731481481483E-2</v>
      </c>
      <c r="J12" s="11">
        <f>(D12-D12)/D12</f>
        <v>0</v>
      </c>
      <c r="K12" s="11">
        <f t="shared" ref="K12" si="6">(E12-E12)/E12</f>
        <v>0</v>
      </c>
      <c r="L12" s="11">
        <f>(G12-G12)/G12</f>
        <v>0</v>
      </c>
      <c r="M12" s="11">
        <f>(H12-H12)/H12</f>
        <v>0</v>
      </c>
      <c r="N12" s="11">
        <f>(F12-F12)/F12</f>
        <v>0</v>
      </c>
    </row>
    <row r="13" spans="2:14" ht="19" x14ac:dyDescent="0.25">
      <c r="B13" s="103"/>
      <c r="C13" s="27" t="s">
        <v>97</v>
      </c>
      <c r="D13" s="59">
        <v>916002</v>
      </c>
      <c r="E13" s="18">
        <v>121205</v>
      </c>
      <c r="F13" s="61">
        <v>5140</v>
      </c>
      <c r="G13" s="62">
        <v>652193</v>
      </c>
      <c r="H13" s="60">
        <v>128794</v>
      </c>
      <c r="I13" s="78">
        <v>1.7968981481481482E-2</v>
      </c>
      <c r="J13" s="14">
        <f>(D12-D13)/D12</f>
        <v>8.9466663220696491E-2</v>
      </c>
      <c r="K13" s="14">
        <f t="shared" ref="K13" si="7">(E12-E13)/E12</f>
        <v>-0.17517306909189628</v>
      </c>
      <c r="L13" s="14">
        <f>(G12-G13)/G12</f>
        <v>4.5621033438742464E-2</v>
      </c>
      <c r="M13" s="14">
        <f>(H12-H13)/H12</f>
        <v>3.1747821706999857E-2</v>
      </c>
      <c r="N13" s="14">
        <f>(F12-F13)/F12</f>
        <v>-1.5985844287158746</v>
      </c>
    </row>
    <row r="14" spans="2:14" ht="19" x14ac:dyDescent="0.25">
      <c r="B14" s="102" t="s">
        <v>10</v>
      </c>
      <c r="C14" s="6" t="s">
        <v>6</v>
      </c>
      <c r="D14" s="55">
        <v>1888668</v>
      </c>
      <c r="E14" s="56">
        <v>296478</v>
      </c>
      <c r="F14" s="57">
        <v>10194</v>
      </c>
      <c r="G14" s="58">
        <v>1254209</v>
      </c>
      <c r="H14" s="56">
        <v>287298</v>
      </c>
      <c r="I14" s="82">
        <v>1.986423611111111E-2</v>
      </c>
      <c r="J14" s="13">
        <f>(D16-D14)/D16</f>
        <v>-3.1555291871843342E-3</v>
      </c>
      <c r="K14" s="13">
        <f t="shared" ref="K14" si="8">(E16-E14)/E16</f>
        <v>-0.31700101281117293</v>
      </c>
      <c r="L14" s="13">
        <f>(G16-G14)/G16</f>
        <v>-6.3863590772316953E-3</v>
      </c>
      <c r="M14" s="13">
        <f>(H16-H14)/H16</f>
        <v>1.6362123686562105E-2</v>
      </c>
      <c r="N14" s="90">
        <f>(F14-F16)/F16</f>
        <v>1.9824458747805733</v>
      </c>
    </row>
    <row r="15" spans="2:14" ht="19" x14ac:dyDescent="0.25">
      <c r="B15" s="126"/>
      <c r="C15" s="7" t="s">
        <v>7</v>
      </c>
      <c r="D15" s="59">
        <v>1853257</v>
      </c>
      <c r="E15" s="60">
        <v>285070</v>
      </c>
      <c r="F15" s="61">
        <v>4450</v>
      </c>
      <c r="G15" s="62">
        <v>1249848</v>
      </c>
      <c r="H15" s="60">
        <v>288324</v>
      </c>
      <c r="I15" s="78">
        <v>1.0442592592592592E-2</v>
      </c>
      <c r="J15" s="11">
        <f>(D16-D15)/D16</f>
        <v>1.5652826989786622E-2</v>
      </c>
      <c r="K15" s="11">
        <f t="shared" ref="K15" si="9">(E16-E15)/E16</f>
        <v>-0.26632491693171523</v>
      </c>
      <c r="L15" s="11">
        <f>(G16-G15)/G16</f>
        <v>-2.8870611835506519E-3</v>
      </c>
      <c r="M15" s="11">
        <f>(H16-H15)/H16</f>
        <v>1.2849351369673065E-2</v>
      </c>
      <c r="N15" s="11">
        <f>(F15-F16)/F16</f>
        <v>0.30193095377413692</v>
      </c>
    </row>
    <row r="16" spans="2:14" ht="19" x14ac:dyDescent="0.25">
      <c r="B16" s="126"/>
      <c r="C16" s="7" t="s">
        <v>8</v>
      </c>
      <c r="D16" s="59">
        <v>1882727</v>
      </c>
      <c r="E16" s="60">
        <v>225116</v>
      </c>
      <c r="F16" s="61">
        <v>3418</v>
      </c>
      <c r="G16" s="62">
        <v>1246250</v>
      </c>
      <c r="H16" s="60">
        <v>292077</v>
      </c>
      <c r="I16" s="78">
        <v>1.3475694444444445E-2</v>
      </c>
      <c r="J16" s="11">
        <f>(D16-D16)/D16</f>
        <v>0</v>
      </c>
      <c r="K16" s="11">
        <f t="shared" ref="K16" si="10">(E16-E16)/E16</f>
        <v>0</v>
      </c>
      <c r="L16" s="11">
        <f>(G16-G16)/G16</f>
        <v>0</v>
      </c>
      <c r="M16" s="11">
        <f>(H16-H16)/H16</f>
        <v>0</v>
      </c>
      <c r="N16" s="11">
        <f>(F16-F16)/F16</f>
        <v>0</v>
      </c>
    </row>
    <row r="17" spans="1:16" ht="19" x14ac:dyDescent="0.25">
      <c r="B17" s="103"/>
      <c r="C17" s="27" t="s">
        <v>97</v>
      </c>
      <c r="D17" s="63">
        <v>1888668</v>
      </c>
      <c r="E17" s="21">
        <v>296478</v>
      </c>
      <c r="F17" s="65">
        <v>14458</v>
      </c>
      <c r="G17" s="66">
        <v>1255030</v>
      </c>
      <c r="H17" s="64">
        <v>288288</v>
      </c>
      <c r="I17" s="75">
        <v>1.2531134259259259E-2</v>
      </c>
      <c r="J17" s="14">
        <f>(D16-D17)/D16</f>
        <v>-3.1555291871843342E-3</v>
      </c>
      <c r="K17" s="14">
        <f t="shared" ref="K17" si="11">(E16-E17)/E16</f>
        <v>-0.31700101281117293</v>
      </c>
      <c r="L17" s="14">
        <f>(G16-G17)/G16</f>
        <v>-7.045135406218656E-3</v>
      </c>
      <c r="M17" s="14">
        <f>(H16-H17)/H16</f>
        <v>1.2972606538686716E-2</v>
      </c>
      <c r="N17" s="14">
        <f>(F16-F17)/F16</f>
        <v>-3.2299590403744882</v>
      </c>
    </row>
    <row r="18" spans="1:16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</row>
    <row r="19" spans="1:16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</row>
    <row r="20" spans="1:16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2" spans="1:16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  <row r="23" spans="1:16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</row>
    <row r="24" spans="1:16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</row>
    <row r="25" spans="1:16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6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</row>
    <row r="27" spans="1:16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</row>
    <row r="28" spans="1:16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</row>
    <row r="29" spans="1:16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</row>
    <row r="30" spans="1:16" ht="22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</row>
    <row r="31" spans="1:16" x14ac:dyDescent="0.2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</row>
    <row r="32" spans="1:16" ht="19" customHeight="1" x14ac:dyDescent="0.2"/>
  </sheetData>
  <mergeCells count="17">
    <mergeCell ref="M2:M3"/>
    <mergeCell ref="B6:B9"/>
    <mergeCell ref="B10:B13"/>
    <mergeCell ref="I4:I5"/>
    <mergeCell ref="I2:I3"/>
    <mergeCell ref="D4:D5"/>
    <mergeCell ref="E4:E5"/>
    <mergeCell ref="F4:F5"/>
    <mergeCell ref="G4:G5"/>
    <mergeCell ref="H4:H5"/>
    <mergeCell ref="D2:F3"/>
    <mergeCell ref="G2:H3"/>
    <mergeCell ref="J2:J3"/>
    <mergeCell ref="J4:J5"/>
    <mergeCell ref="B14:B17"/>
    <mergeCell ref="K2:K3"/>
    <mergeCell ref="L2:L3"/>
  </mergeCells>
  <conditionalFormatting sqref="J6:N17">
    <cfRule type="cellIs" dxfId="1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B3B2-4F69-6243-A514-F6AE2032E0CC}">
  <dimension ref="A2:P57"/>
  <sheetViews>
    <sheetView tabSelected="1" zoomScale="124" workbookViewId="0">
      <selection activeCell="E9" sqref="E9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3.83203125" style="50" bestFit="1" customWidth="1"/>
    <col min="5" max="5" width="11.1640625" bestFit="1" customWidth="1"/>
    <col min="6" max="6" width="12" bestFit="1" customWidth="1"/>
    <col min="7" max="7" width="13.83203125" bestFit="1" customWidth="1"/>
    <col min="8" max="8" width="11.1640625" bestFit="1" customWidth="1"/>
    <col min="9" max="9" width="13" bestFit="1" customWidth="1"/>
    <col min="10" max="10" width="27.5" style="30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2" spans="2:14" x14ac:dyDescent="0.2">
      <c r="B2" s="1"/>
      <c r="D2" s="127" t="s">
        <v>12</v>
      </c>
      <c r="E2" s="128"/>
      <c r="F2" s="114"/>
      <c r="G2" s="127" t="s">
        <v>11</v>
      </c>
      <c r="H2" s="128"/>
      <c r="I2" s="102" t="s">
        <v>21</v>
      </c>
      <c r="J2" s="102" t="s">
        <v>39</v>
      </c>
      <c r="K2" s="114" t="s">
        <v>14</v>
      </c>
      <c r="L2" s="102" t="s">
        <v>15</v>
      </c>
      <c r="M2" s="107" t="s">
        <v>16</v>
      </c>
      <c r="N2" s="9" t="s">
        <v>17</v>
      </c>
    </row>
    <row r="3" spans="2:14" x14ac:dyDescent="0.2">
      <c r="B3" s="1"/>
      <c r="D3" s="129"/>
      <c r="E3" s="130"/>
      <c r="F3" s="115"/>
      <c r="G3" s="141"/>
      <c r="H3" s="100"/>
      <c r="I3" s="126"/>
      <c r="J3" s="103"/>
      <c r="K3" s="115"/>
      <c r="L3" s="103"/>
      <c r="M3" s="108"/>
      <c r="N3" s="12" t="s">
        <v>96</v>
      </c>
    </row>
    <row r="4" spans="2:14" x14ac:dyDescent="0.2">
      <c r="B4" s="4" t="s">
        <v>13</v>
      </c>
      <c r="C4" s="6" t="s">
        <v>0</v>
      </c>
      <c r="D4" s="139" t="s">
        <v>3</v>
      </c>
      <c r="E4" s="100" t="s">
        <v>1</v>
      </c>
      <c r="F4" s="100" t="s">
        <v>2</v>
      </c>
      <c r="G4" s="127" t="s">
        <v>4</v>
      </c>
      <c r="H4" s="128" t="s">
        <v>1</v>
      </c>
      <c r="I4" s="102" t="s">
        <v>25</v>
      </c>
      <c r="J4" s="110"/>
      <c r="K4" s="2"/>
      <c r="L4" s="10"/>
      <c r="M4" s="7"/>
      <c r="N4" s="10"/>
    </row>
    <row r="5" spans="2:14" x14ac:dyDescent="0.2">
      <c r="B5" s="5"/>
      <c r="C5" s="7"/>
      <c r="D5" s="139"/>
      <c r="E5" s="100"/>
      <c r="F5" s="100"/>
      <c r="G5" s="129"/>
      <c r="H5" s="130"/>
      <c r="I5" s="103"/>
      <c r="J5" s="111"/>
      <c r="K5" s="3"/>
      <c r="L5" s="12"/>
      <c r="M5" s="8"/>
      <c r="N5" s="10"/>
    </row>
    <row r="6" spans="2:14" ht="19" x14ac:dyDescent="0.25">
      <c r="B6" s="102" t="s">
        <v>5</v>
      </c>
      <c r="C6" s="6" t="s">
        <v>6</v>
      </c>
      <c r="D6" s="55">
        <v>1079208</v>
      </c>
      <c r="E6" s="56">
        <v>127673</v>
      </c>
      <c r="F6" s="57">
        <v>5634</v>
      </c>
      <c r="G6" s="62">
        <v>780191</v>
      </c>
      <c r="H6" s="60">
        <v>123022</v>
      </c>
      <c r="I6" s="78">
        <v>6.1306712962962973E-3</v>
      </c>
      <c r="J6" s="13">
        <f>(D8-D6)/D8</f>
        <v>1.5478367961320044E-2</v>
      </c>
      <c r="K6" s="13">
        <f t="shared" ref="K6" si="0">(E8-E6)/E8</f>
        <v>-0.23776515298406173</v>
      </c>
      <c r="L6" s="13">
        <f>(G8-G6)/G8</f>
        <v>7.0061915777123692E-4</v>
      </c>
      <c r="M6" s="13">
        <f>(H8-H6)/H8</f>
        <v>2.9787301161681087E-2</v>
      </c>
      <c r="N6" s="90">
        <f>(F6-F8)/F8</f>
        <v>2.0536585365853659</v>
      </c>
    </row>
    <row r="7" spans="2:14" ht="19" x14ac:dyDescent="0.25">
      <c r="B7" s="126"/>
      <c r="C7" s="7" t="s">
        <v>7</v>
      </c>
      <c r="D7" s="59">
        <v>1199599</v>
      </c>
      <c r="E7" s="60">
        <v>126129</v>
      </c>
      <c r="F7" s="61">
        <v>2376</v>
      </c>
      <c r="G7" s="62">
        <v>836847</v>
      </c>
      <c r="H7" s="60">
        <v>126593</v>
      </c>
      <c r="I7" s="78">
        <v>6.8023148148148149E-3</v>
      </c>
      <c r="J7" s="11">
        <f>(D8-D7)/D8</f>
        <v>-9.4349898510730501E-2</v>
      </c>
      <c r="K7" s="11">
        <f t="shared" ref="K7" si="1">(E8-E7)/E8</f>
        <v>-0.22279637026408655</v>
      </c>
      <c r="L7" s="11">
        <f>(G8-G7)/G8</f>
        <v>-7.186661850710481E-2</v>
      </c>
      <c r="M7" s="11">
        <f>(H8-H7)/H8</f>
        <v>1.6246184906821032E-3</v>
      </c>
      <c r="N7" s="11">
        <f>(F7-F8)/F8</f>
        <v>0.28780487804878047</v>
      </c>
    </row>
    <row r="8" spans="2:14" ht="19" x14ac:dyDescent="0.25">
      <c r="B8" s="126"/>
      <c r="C8" s="7" t="s">
        <v>8</v>
      </c>
      <c r="D8" s="59">
        <v>1096175</v>
      </c>
      <c r="E8" s="60">
        <v>103148</v>
      </c>
      <c r="F8" s="61">
        <v>1845</v>
      </c>
      <c r="G8" s="62">
        <v>780738</v>
      </c>
      <c r="H8" s="60">
        <v>126799</v>
      </c>
      <c r="I8" s="78">
        <v>5.7511574074074071E-3</v>
      </c>
      <c r="J8" s="11">
        <f>(D8-D8)/D8</f>
        <v>0</v>
      </c>
      <c r="K8" s="11">
        <f t="shared" ref="K8" si="2">(E8-E8)/E8</f>
        <v>0</v>
      </c>
      <c r="L8" s="11">
        <f>(G8-G8)/G8</f>
        <v>0</v>
      </c>
      <c r="M8" s="11">
        <f>(H8-H8)/H8</f>
        <v>0</v>
      </c>
      <c r="N8" s="11">
        <f>(F8-F8)/F8</f>
        <v>0</v>
      </c>
    </row>
    <row r="9" spans="2:14" ht="19" x14ac:dyDescent="0.25">
      <c r="B9" s="103"/>
      <c r="C9" s="27" t="s">
        <v>97</v>
      </c>
      <c r="D9" s="63">
        <v>1041555</v>
      </c>
      <c r="E9" s="64">
        <v>88183</v>
      </c>
      <c r="F9" s="65">
        <v>1427</v>
      </c>
      <c r="G9" s="66">
        <v>768945</v>
      </c>
      <c r="H9" s="64">
        <v>127170</v>
      </c>
      <c r="I9" s="75">
        <v>4.9531250000000001E-3</v>
      </c>
      <c r="J9" s="14">
        <f>(D8-D9)/D8</f>
        <v>4.9827810340502203E-2</v>
      </c>
      <c r="K9" s="14">
        <f t="shared" ref="K9" si="3">(E8-E9)/E8</f>
        <v>0.145082793655718</v>
      </c>
      <c r="L9" s="14">
        <f>(G8-G9)/G8</f>
        <v>1.5104939172936375E-2</v>
      </c>
      <c r="M9" s="14">
        <f>(H8-H9)/H8</f>
        <v>-2.9258905827333022E-3</v>
      </c>
      <c r="N9" s="14">
        <f>(F8-F9)/F8</f>
        <v>0.22655826558265582</v>
      </c>
    </row>
    <row r="10" spans="2:14" ht="19" x14ac:dyDescent="0.25">
      <c r="B10" s="102" t="s">
        <v>9</v>
      </c>
      <c r="C10" s="7" t="s">
        <v>6</v>
      </c>
      <c r="D10" s="59">
        <v>915871</v>
      </c>
      <c r="E10" s="60">
        <v>121205</v>
      </c>
      <c r="F10" s="61">
        <v>4353</v>
      </c>
      <c r="G10" s="62">
        <v>652211</v>
      </c>
      <c r="H10" s="60">
        <v>128555</v>
      </c>
      <c r="I10" s="78">
        <v>1.0067824074074075E-2</v>
      </c>
      <c r="J10" s="13">
        <f>(D12-D10)/D12</f>
        <v>8.9596881131921685E-2</v>
      </c>
      <c r="K10" s="13">
        <f t="shared" ref="K10" si="4">(E12-E10)/E12</f>
        <v>-0.17517306909189628</v>
      </c>
      <c r="L10" s="13">
        <f>(G12-G10)/G12</f>
        <v>4.5594693350151969E-2</v>
      </c>
      <c r="M10" s="13">
        <f>(H12-H10)/H12</f>
        <v>3.3544584526789809E-2</v>
      </c>
      <c r="N10" s="90">
        <f>(F10-F12)/F12</f>
        <v>1.3240790176187933</v>
      </c>
    </row>
    <row r="11" spans="2:14" ht="19" x14ac:dyDescent="0.25">
      <c r="B11" s="126"/>
      <c r="C11" s="7" t="s">
        <v>7</v>
      </c>
      <c r="D11" s="59">
        <v>950633</v>
      </c>
      <c r="E11" s="60">
        <v>116616</v>
      </c>
      <c r="F11" s="61">
        <v>2337</v>
      </c>
      <c r="G11" s="62">
        <v>672407</v>
      </c>
      <c r="H11" s="60">
        <v>130223</v>
      </c>
      <c r="I11" s="78">
        <v>1.3344560185185185E-2</v>
      </c>
      <c r="J11" s="11">
        <f>(D12-D11)/D12</f>
        <v>5.5042415253984567E-2</v>
      </c>
      <c r="K11" s="11">
        <f t="shared" ref="K11" si="5">(E12-E11)/E12</f>
        <v>-0.13067928406600865</v>
      </c>
      <c r="L11" s="11">
        <f>(G12-G11)/G12</f>
        <v>1.6041113951613256E-2</v>
      </c>
      <c r="M11" s="11">
        <f>(H12-H11)/H12</f>
        <v>2.1004833968590479E-2</v>
      </c>
      <c r="N11" s="11">
        <f>(F11-F12)/F12</f>
        <v>0.24773091297383876</v>
      </c>
    </row>
    <row r="12" spans="2:14" ht="19" x14ac:dyDescent="0.25">
      <c r="B12" s="126"/>
      <c r="C12" s="7" t="s">
        <v>8</v>
      </c>
      <c r="D12" s="59">
        <v>1006006</v>
      </c>
      <c r="E12" s="60">
        <v>103138</v>
      </c>
      <c r="F12" s="61">
        <v>1873</v>
      </c>
      <c r="G12" s="62">
        <v>683369</v>
      </c>
      <c r="H12" s="60">
        <v>133017</v>
      </c>
      <c r="I12" s="79">
        <v>1.7322106481481483E-2</v>
      </c>
      <c r="J12" s="11">
        <f>(D12-D12)/D12</f>
        <v>0</v>
      </c>
      <c r="K12" s="11">
        <f t="shared" ref="K12" si="6">(E12-E12)/E12</f>
        <v>0</v>
      </c>
      <c r="L12" s="11">
        <f>(G12-G12)/G12</f>
        <v>0</v>
      </c>
      <c r="M12" s="11">
        <f>(H12-H12)/H12</f>
        <v>0</v>
      </c>
      <c r="N12" s="11">
        <f>(F12-F12)/F12</f>
        <v>0</v>
      </c>
    </row>
    <row r="13" spans="2:14" ht="19" x14ac:dyDescent="0.25">
      <c r="B13" s="103"/>
      <c r="C13" s="27" t="s">
        <v>97</v>
      </c>
      <c r="D13" s="59">
        <v>906128</v>
      </c>
      <c r="E13" s="60">
        <v>85006</v>
      </c>
      <c r="F13" s="61">
        <v>1473</v>
      </c>
      <c r="G13" s="62">
        <v>650514</v>
      </c>
      <c r="H13" s="60">
        <v>132656</v>
      </c>
      <c r="I13" s="79">
        <v>2.0096180555555555E-2</v>
      </c>
      <c r="J13" s="14">
        <f>(D12-D13)/D12</f>
        <v>9.9281714025562476E-2</v>
      </c>
      <c r="K13" s="14">
        <f t="shared" ref="K13" si="7">(E12-E13)/E12</f>
        <v>0.17580329267583239</v>
      </c>
      <c r="L13" s="14">
        <f>(G12-G13)/G12</f>
        <v>4.8077978368933912E-2</v>
      </c>
      <c r="M13" s="14">
        <f>(H12-H13)/H12</f>
        <v>2.7139388198500944E-3</v>
      </c>
      <c r="N13" s="14">
        <f>(F12-F13)/F12</f>
        <v>0.21356113187399894</v>
      </c>
    </row>
    <row r="14" spans="2:14" ht="19" x14ac:dyDescent="0.25">
      <c r="B14" s="102" t="s">
        <v>10</v>
      </c>
      <c r="C14" s="6" t="s">
        <v>6</v>
      </c>
      <c r="D14" s="55">
        <v>1888668</v>
      </c>
      <c r="E14" s="56">
        <v>296478</v>
      </c>
      <c r="F14" s="57">
        <v>14532</v>
      </c>
      <c r="G14" s="58">
        <v>1254209</v>
      </c>
      <c r="H14" s="56">
        <v>287298</v>
      </c>
      <c r="I14" s="80">
        <v>1.407511574074074E-2</v>
      </c>
      <c r="J14" s="13">
        <f>(D16-D14)/D16</f>
        <v>-3.1555291871843342E-3</v>
      </c>
      <c r="K14" s="13">
        <f t="shared" ref="K14" si="8">(E16-E14)/E16</f>
        <v>-0.31700101281117293</v>
      </c>
      <c r="L14" s="13">
        <f>(G16-G14)/G16</f>
        <v>-6.3863590772316953E-3</v>
      </c>
      <c r="M14" s="13">
        <f>(H16-H14)/H16</f>
        <v>1.6362123686562105E-2</v>
      </c>
      <c r="N14" s="90">
        <f>(F14-F16)/F16</f>
        <v>3.6487523992322455</v>
      </c>
    </row>
    <row r="15" spans="2:14" ht="19" x14ac:dyDescent="0.25">
      <c r="B15" s="126"/>
      <c r="C15" s="7" t="s">
        <v>7</v>
      </c>
      <c r="D15" s="59">
        <v>1853257</v>
      </c>
      <c r="E15" s="60">
        <v>285070</v>
      </c>
      <c r="F15" s="61">
        <v>4448</v>
      </c>
      <c r="G15" s="62">
        <v>1249848</v>
      </c>
      <c r="H15" s="60">
        <v>288324</v>
      </c>
      <c r="I15" s="79">
        <v>1.6265277777777778E-2</v>
      </c>
      <c r="J15" s="11">
        <f>(D16-D15)/D16</f>
        <v>1.5652826989786622E-2</v>
      </c>
      <c r="K15" s="11">
        <f t="shared" ref="K15" si="9">(E16-E15)/E16</f>
        <v>-0.26632491693171523</v>
      </c>
      <c r="L15" s="11">
        <f>(G16-G15)/G16</f>
        <v>-2.8870611835506519E-3</v>
      </c>
      <c r="M15" s="11">
        <f>(H16-H15)/H16</f>
        <v>1.2849351369673065E-2</v>
      </c>
      <c r="N15" s="11">
        <f>(F15-F16)/F16</f>
        <v>0.42290467050543828</v>
      </c>
    </row>
    <row r="16" spans="2:14" ht="19" x14ac:dyDescent="0.25">
      <c r="B16" s="126"/>
      <c r="C16" s="7" t="s">
        <v>8</v>
      </c>
      <c r="D16" s="59">
        <v>1882727</v>
      </c>
      <c r="E16" s="60">
        <v>225116</v>
      </c>
      <c r="F16" s="61">
        <v>3126</v>
      </c>
      <c r="G16" s="62">
        <v>1246250</v>
      </c>
      <c r="H16" s="60">
        <v>292077</v>
      </c>
      <c r="I16" s="79">
        <v>1.5125694444444443E-2</v>
      </c>
      <c r="J16" s="11">
        <f>(D16-D16)/D16</f>
        <v>0</v>
      </c>
      <c r="K16" s="11">
        <f t="shared" ref="K16" si="10">(E16-E16)/E16</f>
        <v>0</v>
      </c>
      <c r="L16" s="11">
        <f>(G16-G16)/G16</f>
        <v>0</v>
      </c>
      <c r="M16" s="11">
        <f>(H16-H16)/H16</f>
        <v>0</v>
      </c>
      <c r="N16" s="11">
        <f>(F16-F16)/F16</f>
        <v>0</v>
      </c>
    </row>
    <row r="17" spans="1:16" ht="19" x14ac:dyDescent="0.25">
      <c r="B17" s="103"/>
      <c r="C17" s="27" t="s">
        <v>97</v>
      </c>
      <c r="D17" s="63">
        <v>1837973</v>
      </c>
      <c r="E17" s="64">
        <v>196418</v>
      </c>
      <c r="F17" s="65">
        <v>2454</v>
      </c>
      <c r="G17" s="66">
        <v>1241504</v>
      </c>
      <c r="H17" s="64">
        <v>292568</v>
      </c>
      <c r="I17" s="81">
        <v>1.2934722222222222E-2</v>
      </c>
      <c r="J17" s="14">
        <f>(D16-D17)/D16</f>
        <v>2.3770838788629473E-2</v>
      </c>
      <c r="K17" s="14">
        <f t="shared" ref="K17" si="11">(E16-E17)/E16</f>
        <v>0.127480943158194</v>
      </c>
      <c r="L17" s="14">
        <f>(G16-G17)/G16</f>
        <v>3.8082246740220663E-3</v>
      </c>
      <c r="M17" s="14">
        <f>(H16-H17)/H16</f>
        <v>-1.6810635551583999E-3</v>
      </c>
      <c r="N17" s="14">
        <f>(F16-F17)/F16</f>
        <v>0.21497120921305182</v>
      </c>
    </row>
    <row r="18" spans="1:16" ht="19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</row>
    <row r="19" spans="1:16" ht="19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</row>
    <row r="20" spans="1:16" ht="19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9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2" spans="1:16" ht="19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  <row r="23" spans="1:16" ht="19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</row>
    <row r="24" spans="1:16" ht="19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</row>
    <row r="25" spans="1:16" ht="19" customHeight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6" x14ac:dyDescent="0.2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</row>
    <row r="27" spans="1:16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</row>
    <row r="28" spans="1:16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</row>
    <row r="29" spans="1:16" x14ac:dyDescent="0.2">
      <c r="I29" s="30"/>
    </row>
    <row r="30" spans="1:16" ht="22" customHeight="1" x14ac:dyDescent="0.3"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</row>
    <row r="31" spans="1:16" ht="16" customHeight="1" x14ac:dyDescent="0.3"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</row>
    <row r="32" spans="1:16" ht="19" customHeight="1" x14ac:dyDescent="0.3"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</row>
    <row r="33" spans="2:13" ht="16" customHeight="1" x14ac:dyDescent="0.3"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</row>
    <row r="34" spans="2:13" ht="16" customHeight="1" x14ac:dyDescent="0.3"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</row>
    <row r="35" spans="2:13" ht="16" customHeight="1" x14ac:dyDescent="0.3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</row>
    <row r="36" spans="2:13" ht="16" customHeight="1" x14ac:dyDescent="0.3"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</row>
    <row r="37" spans="2:13" ht="16" customHeight="1" x14ac:dyDescent="0.3"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</row>
    <row r="38" spans="2:13" ht="16" customHeight="1" x14ac:dyDescent="0.3"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</row>
    <row r="39" spans="2:13" ht="16" customHeight="1" x14ac:dyDescent="0.3"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</row>
    <row r="40" spans="2:13" ht="16" customHeight="1" x14ac:dyDescent="0.3"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</row>
    <row r="41" spans="2:13" ht="16" customHeight="1" x14ac:dyDescent="0.3"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</row>
    <row r="42" spans="2:13" ht="16" customHeight="1" x14ac:dyDescent="0.3"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</row>
    <row r="43" spans="2:13" ht="16" customHeight="1" x14ac:dyDescent="0.3"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</row>
    <row r="44" spans="2:13" ht="16" customHeight="1" x14ac:dyDescent="0.3"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</row>
    <row r="45" spans="2:13" ht="16" customHeight="1" x14ac:dyDescent="0.3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</row>
    <row r="46" spans="2:13" ht="16" customHeight="1" x14ac:dyDescent="0.3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</row>
    <row r="47" spans="2:13" ht="16" customHeight="1" x14ac:dyDescent="0.3"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</row>
    <row r="48" spans="2:13" ht="16" customHeight="1" x14ac:dyDescent="0.3"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</row>
    <row r="49" spans="2:13" ht="16" customHeight="1" x14ac:dyDescent="0.3"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</row>
    <row r="50" spans="2:13" ht="16" customHeight="1" x14ac:dyDescent="0.3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</row>
    <row r="51" spans="2:13" ht="16" customHeight="1" x14ac:dyDescent="0.3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</row>
    <row r="52" spans="2:13" ht="16" customHeight="1" x14ac:dyDescent="0.3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</row>
    <row r="53" spans="2:13" ht="16" customHeight="1" x14ac:dyDescent="0.3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</row>
    <row r="54" spans="2:13" ht="16" customHeight="1" x14ac:dyDescent="0.3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</row>
    <row r="55" spans="2:13" ht="16" customHeight="1" x14ac:dyDescent="0.3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</row>
    <row r="56" spans="2:13" ht="16" customHeight="1" x14ac:dyDescent="0.3"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</row>
    <row r="57" spans="2:13" ht="22" x14ac:dyDescent="0.3">
      <c r="E57" s="83"/>
    </row>
  </sheetData>
  <mergeCells count="17">
    <mergeCell ref="B6:B9"/>
    <mergeCell ref="B10:B13"/>
    <mergeCell ref="B14:B17"/>
    <mergeCell ref="M2:M3"/>
    <mergeCell ref="I4:I5"/>
    <mergeCell ref="D2:F3"/>
    <mergeCell ref="G2:H3"/>
    <mergeCell ref="I2:I3"/>
    <mergeCell ref="K2:K3"/>
    <mergeCell ref="L2:L3"/>
    <mergeCell ref="D4:D5"/>
    <mergeCell ref="E4:E5"/>
    <mergeCell ref="F4:F5"/>
    <mergeCell ref="G4:G5"/>
    <mergeCell ref="H4:H5"/>
    <mergeCell ref="J2:J3"/>
    <mergeCell ref="J4:J5"/>
  </mergeCells>
  <conditionalFormatting sqref="J6:N17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FR_AES</vt:lpstr>
      <vt:lpstr>FR_IBEX</vt:lpstr>
      <vt:lpstr>FR_JPEG</vt:lpstr>
      <vt:lpstr>CUGR_AES</vt:lpstr>
      <vt:lpstr>CUGR_IBEX</vt:lpstr>
      <vt:lpstr>CUGR_JPEG</vt:lpstr>
      <vt:lpstr>SPR_AES</vt:lpstr>
      <vt:lpstr>SPR_IBEX</vt:lpstr>
      <vt:lpstr>SPR_JPEG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Taizun Jafri (Student)</dc:creator>
  <cp:lastModifiedBy>Taizun Jafri</cp:lastModifiedBy>
  <dcterms:created xsi:type="dcterms:W3CDTF">2026-01-15T22:35:20Z</dcterms:created>
  <dcterms:modified xsi:type="dcterms:W3CDTF">2026-06-15T17:38:22Z</dcterms:modified>
</cp:coreProperties>
</file>