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izunj/Documents/Masters_2024/ASU/Student_Docs/RESEARCH/GR-Evolve/sheets/"/>
    </mc:Choice>
  </mc:AlternateContent>
  <xr:revisionPtr revIDLastSave="0" documentId="13_ncr:1_{6B24245C-F5FB-8145-A26D-58AACABEEBF8}" xr6:coauthVersionLast="47" xr6:coauthVersionMax="47" xr10:uidLastSave="{00000000-0000-0000-0000-000000000000}"/>
  <bookViews>
    <workbookView xWindow="0" yWindow="620" windowWidth="68800" windowHeight="26500" activeTab="8" xr2:uid="{FFC973C6-569C-0349-9307-D1049950C395}"/>
  </bookViews>
  <sheets>
    <sheet name="fr_aes" sheetId="1" r:id="rId1"/>
    <sheet name="fr_ibex" sheetId="7" r:id="rId2"/>
    <sheet name="fr_jpeg" sheetId="8" r:id="rId3"/>
    <sheet name="cugr_aes" sheetId="9" r:id="rId4"/>
    <sheet name="cugr_ibex" sheetId="10" r:id="rId5"/>
    <sheet name="cugr_jpeg" sheetId="11" r:id="rId6"/>
    <sheet name="spr_aes" sheetId="12" r:id="rId7"/>
    <sheet name="spr_ibex" sheetId="13" r:id="rId8"/>
    <sheet name="spr_jpeg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4" l="1"/>
  <c r="M17" i="14"/>
  <c r="L17" i="14"/>
  <c r="K17" i="14"/>
  <c r="J17" i="14"/>
  <c r="N16" i="14"/>
  <c r="M16" i="14"/>
  <c r="L16" i="14"/>
  <c r="K16" i="14"/>
  <c r="J16" i="14"/>
  <c r="N15" i="14"/>
  <c r="M15" i="14"/>
  <c r="L15" i="14"/>
  <c r="K15" i="14"/>
  <c r="J15" i="14"/>
  <c r="N14" i="14"/>
  <c r="M14" i="14"/>
  <c r="L14" i="14"/>
  <c r="K14" i="14"/>
  <c r="J14" i="14"/>
  <c r="N13" i="14"/>
  <c r="M13" i="14"/>
  <c r="L13" i="14"/>
  <c r="K13" i="14"/>
  <c r="J13" i="14"/>
  <c r="N12" i="14"/>
  <c r="M12" i="14"/>
  <c r="L12" i="14"/>
  <c r="K12" i="14"/>
  <c r="J12" i="14"/>
  <c r="N11" i="14"/>
  <c r="M11" i="14"/>
  <c r="L11" i="14"/>
  <c r="K11" i="14"/>
  <c r="J11" i="14"/>
  <c r="N10" i="14"/>
  <c r="M10" i="14"/>
  <c r="L10" i="14"/>
  <c r="K10" i="14"/>
  <c r="J10" i="14"/>
  <c r="N9" i="14"/>
  <c r="M9" i="14"/>
  <c r="L9" i="14"/>
  <c r="K9" i="14"/>
  <c r="J9" i="14"/>
  <c r="N8" i="14"/>
  <c r="M8" i="14"/>
  <c r="L8" i="14"/>
  <c r="K8" i="14"/>
  <c r="J8" i="14"/>
  <c r="N7" i="14"/>
  <c r="M7" i="14"/>
  <c r="L7" i="14"/>
  <c r="K7" i="14"/>
  <c r="J7" i="14"/>
  <c r="N6" i="14"/>
  <c r="M6" i="14"/>
  <c r="L6" i="14"/>
  <c r="K6" i="14"/>
  <c r="J6" i="14"/>
  <c r="N17" i="13"/>
  <c r="M17" i="13"/>
  <c r="L17" i="13"/>
  <c r="K17" i="13"/>
  <c r="J17" i="13"/>
  <c r="N16" i="13"/>
  <c r="M16" i="13"/>
  <c r="L16" i="13"/>
  <c r="K16" i="13"/>
  <c r="J16" i="13"/>
  <c r="N15" i="13"/>
  <c r="M15" i="13"/>
  <c r="L15" i="13"/>
  <c r="K15" i="13"/>
  <c r="J15" i="13"/>
  <c r="N14" i="13"/>
  <c r="M14" i="13"/>
  <c r="L14" i="13"/>
  <c r="K14" i="13"/>
  <c r="J14" i="13"/>
  <c r="N13" i="13"/>
  <c r="M13" i="13"/>
  <c r="L13" i="13"/>
  <c r="K13" i="13"/>
  <c r="J13" i="13"/>
  <c r="N12" i="13"/>
  <c r="M12" i="13"/>
  <c r="L12" i="13"/>
  <c r="K12" i="13"/>
  <c r="J12" i="13"/>
  <c r="N11" i="13"/>
  <c r="M11" i="13"/>
  <c r="L11" i="13"/>
  <c r="K11" i="13"/>
  <c r="J11" i="13"/>
  <c r="N10" i="13"/>
  <c r="M10" i="13"/>
  <c r="L10" i="13"/>
  <c r="K10" i="13"/>
  <c r="J10" i="13"/>
  <c r="N9" i="13"/>
  <c r="M9" i="13"/>
  <c r="L9" i="13"/>
  <c r="K9" i="13"/>
  <c r="J9" i="13"/>
  <c r="N8" i="13"/>
  <c r="M8" i="13"/>
  <c r="L8" i="13"/>
  <c r="K8" i="13"/>
  <c r="J8" i="13"/>
  <c r="N7" i="13"/>
  <c r="M7" i="13"/>
  <c r="L7" i="13"/>
  <c r="K7" i="13"/>
  <c r="J7" i="13"/>
  <c r="N6" i="13"/>
  <c r="M6" i="13"/>
  <c r="L6" i="13"/>
  <c r="K6" i="13"/>
  <c r="J6" i="13"/>
  <c r="N17" i="12"/>
  <c r="M17" i="12"/>
  <c r="L17" i="12"/>
  <c r="K17" i="12"/>
  <c r="J17" i="12"/>
  <c r="N16" i="12"/>
  <c r="M16" i="12"/>
  <c r="L16" i="12"/>
  <c r="K16" i="12"/>
  <c r="J16" i="12"/>
  <c r="N15" i="12"/>
  <c r="M15" i="12"/>
  <c r="L15" i="12"/>
  <c r="K15" i="12"/>
  <c r="J15" i="12"/>
  <c r="N14" i="12"/>
  <c r="M14" i="12"/>
  <c r="L14" i="12"/>
  <c r="K14" i="12"/>
  <c r="J14" i="12"/>
  <c r="N13" i="12"/>
  <c r="M13" i="12"/>
  <c r="L13" i="12"/>
  <c r="K13" i="12"/>
  <c r="J13" i="12"/>
  <c r="N12" i="12"/>
  <c r="M12" i="12"/>
  <c r="L12" i="12"/>
  <c r="K12" i="12"/>
  <c r="J12" i="12"/>
  <c r="N11" i="12"/>
  <c r="M11" i="12"/>
  <c r="L11" i="12"/>
  <c r="K11" i="12"/>
  <c r="J11" i="12"/>
  <c r="N10" i="12"/>
  <c r="M10" i="12"/>
  <c r="L10" i="12"/>
  <c r="K10" i="12"/>
  <c r="J10" i="12"/>
  <c r="N9" i="12"/>
  <c r="M9" i="12"/>
  <c r="L9" i="12"/>
  <c r="K9" i="12"/>
  <c r="J9" i="12"/>
  <c r="N8" i="12"/>
  <c r="M8" i="12"/>
  <c r="L8" i="12"/>
  <c r="K8" i="12"/>
  <c r="J8" i="12"/>
  <c r="N7" i="12"/>
  <c r="M7" i="12"/>
  <c r="L7" i="12"/>
  <c r="K7" i="12"/>
  <c r="J7" i="12"/>
  <c r="N6" i="12"/>
  <c r="M6" i="12"/>
  <c r="L6" i="12"/>
  <c r="K6" i="12"/>
  <c r="J6" i="12"/>
  <c r="N17" i="11"/>
  <c r="M17" i="11"/>
  <c r="L17" i="11"/>
  <c r="K17" i="11"/>
  <c r="J17" i="11"/>
  <c r="N16" i="11"/>
  <c r="M16" i="11"/>
  <c r="L16" i="11"/>
  <c r="K16" i="11"/>
  <c r="J16" i="11"/>
  <c r="N15" i="11"/>
  <c r="M15" i="11"/>
  <c r="L15" i="11"/>
  <c r="K15" i="11"/>
  <c r="J15" i="11"/>
  <c r="N14" i="11"/>
  <c r="M14" i="11"/>
  <c r="L14" i="11"/>
  <c r="K14" i="11"/>
  <c r="J14" i="11"/>
  <c r="N13" i="11"/>
  <c r="M13" i="11"/>
  <c r="L13" i="11"/>
  <c r="K13" i="11"/>
  <c r="J13" i="11"/>
  <c r="N12" i="11"/>
  <c r="M12" i="11"/>
  <c r="L12" i="11"/>
  <c r="K12" i="11"/>
  <c r="J12" i="11"/>
  <c r="N11" i="11"/>
  <c r="M11" i="11"/>
  <c r="L11" i="11"/>
  <c r="K11" i="11"/>
  <c r="J11" i="11"/>
  <c r="N10" i="11"/>
  <c r="M10" i="11"/>
  <c r="L10" i="11"/>
  <c r="K10" i="11"/>
  <c r="J10" i="11"/>
  <c r="N9" i="11"/>
  <c r="M9" i="11"/>
  <c r="L9" i="11"/>
  <c r="K9" i="11"/>
  <c r="J9" i="11"/>
  <c r="N8" i="11"/>
  <c r="M8" i="11"/>
  <c r="L8" i="11"/>
  <c r="K8" i="11"/>
  <c r="J8" i="11"/>
  <c r="N7" i="11"/>
  <c r="M7" i="11"/>
  <c r="L7" i="11"/>
  <c r="K7" i="11"/>
  <c r="J7" i="11"/>
  <c r="N6" i="11"/>
  <c r="M6" i="11"/>
  <c r="L6" i="11"/>
  <c r="K6" i="11"/>
  <c r="J6" i="11"/>
  <c r="N17" i="10"/>
  <c r="M17" i="10"/>
  <c r="L17" i="10"/>
  <c r="K17" i="10"/>
  <c r="J17" i="10"/>
  <c r="N16" i="10"/>
  <c r="M16" i="10"/>
  <c r="L16" i="10"/>
  <c r="K16" i="10"/>
  <c r="J16" i="10"/>
  <c r="N15" i="10"/>
  <c r="M15" i="10"/>
  <c r="L15" i="10"/>
  <c r="K15" i="10"/>
  <c r="J15" i="10"/>
  <c r="N14" i="10"/>
  <c r="M14" i="10"/>
  <c r="L14" i="10"/>
  <c r="K14" i="10"/>
  <c r="J14" i="10"/>
  <c r="N13" i="10"/>
  <c r="M13" i="10"/>
  <c r="L13" i="10"/>
  <c r="K13" i="10"/>
  <c r="J13" i="10"/>
  <c r="N12" i="10"/>
  <c r="M12" i="10"/>
  <c r="L12" i="10"/>
  <c r="K12" i="10"/>
  <c r="J12" i="10"/>
  <c r="N11" i="10"/>
  <c r="M11" i="10"/>
  <c r="L11" i="10"/>
  <c r="K11" i="10"/>
  <c r="J11" i="10"/>
  <c r="N10" i="10"/>
  <c r="M10" i="10"/>
  <c r="L10" i="10"/>
  <c r="K10" i="10"/>
  <c r="J10" i="10"/>
  <c r="N9" i="10"/>
  <c r="M9" i="10"/>
  <c r="L9" i="10"/>
  <c r="K9" i="10"/>
  <c r="J9" i="10"/>
  <c r="N8" i="10"/>
  <c r="M8" i="10"/>
  <c r="L8" i="10"/>
  <c r="K8" i="10"/>
  <c r="J8" i="10"/>
  <c r="N7" i="10"/>
  <c r="M7" i="10"/>
  <c r="L7" i="10"/>
  <c r="K7" i="10"/>
  <c r="J7" i="10"/>
  <c r="N6" i="10"/>
  <c r="M6" i="10"/>
  <c r="L6" i="10"/>
  <c r="K6" i="10"/>
  <c r="J6" i="10"/>
  <c r="N17" i="9"/>
  <c r="M17" i="9"/>
  <c r="L17" i="9"/>
  <c r="K17" i="9"/>
  <c r="J17" i="9"/>
  <c r="N16" i="9"/>
  <c r="M16" i="9"/>
  <c r="L16" i="9"/>
  <c r="K16" i="9"/>
  <c r="J16" i="9"/>
  <c r="N15" i="9"/>
  <c r="M15" i="9"/>
  <c r="L15" i="9"/>
  <c r="K15" i="9"/>
  <c r="J15" i="9"/>
  <c r="N14" i="9"/>
  <c r="M14" i="9"/>
  <c r="L14" i="9"/>
  <c r="K14" i="9"/>
  <c r="J14" i="9"/>
  <c r="N13" i="9"/>
  <c r="M13" i="9"/>
  <c r="L13" i="9"/>
  <c r="K13" i="9"/>
  <c r="J13" i="9"/>
  <c r="N12" i="9"/>
  <c r="M12" i="9"/>
  <c r="L12" i="9"/>
  <c r="K12" i="9"/>
  <c r="J12" i="9"/>
  <c r="N11" i="9"/>
  <c r="M11" i="9"/>
  <c r="L11" i="9"/>
  <c r="K11" i="9"/>
  <c r="J11" i="9"/>
  <c r="N10" i="9"/>
  <c r="M10" i="9"/>
  <c r="L10" i="9"/>
  <c r="K10" i="9"/>
  <c r="J10" i="9"/>
  <c r="N9" i="9"/>
  <c r="M9" i="9"/>
  <c r="L9" i="9"/>
  <c r="K9" i="9"/>
  <c r="J9" i="9"/>
  <c r="N8" i="9"/>
  <c r="M8" i="9"/>
  <c r="L8" i="9"/>
  <c r="K8" i="9"/>
  <c r="J8" i="9"/>
  <c r="N7" i="9"/>
  <c r="M7" i="9"/>
  <c r="L7" i="9"/>
  <c r="K7" i="9"/>
  <c r="J7" i="9"/>
  <c r="N6" i="9"/>
  <c r="M6" i="9"/>
  <c r="L6" i="9"/>
  <c r="K6" i="9"/>
  <c r="J6" i="9"/>
  <c r="N17" i="8"/>
  <c r="M17" i="8"/>
  <c r="L17" i="8"/>
  <c r="K17" i="8"/>
  <c r="J17" i="8"/>
  <c r="N16" i="8"/>
  <c r="M16" i="8"/>
  <c r="L16" i="8"/>
  <c r="K16" i="8"/>
  <c r="J16" i="8"/>
  <c r="N15" i="8"/>
  <c r="M15" i="8"/>
  <c r="L15" i="8"/>
  <c r="K15" i="8"/>
  <c r="J15" i="8"/>
  <c r="N14" i="8"/>
  <c r="M14" i="8"/>
  <c r="L14" i="8"/>
  <c r="K14" i="8"/>
  <c r="J14" i="8"/>
  <c r="N13" i="8"/>
  <c r="M13" i="8"/>
  <c r="L13" i="8"/>
  <c r="K13" i="8"/>
  <c r="J13" i="8"/>
  <c r="N12" i="8"/>
  <c r="M12" i="8"/>
  <c r="L12" i="8"/>
  <c r="K12" i="8"/>
  <c r="J12" i="8"/>
  <c r="N11" i="8"/>
  <c r="M11" i="8"/>
  <c r="L11" i="8"/>
  <c r="K11" i="8"/>
  <c r="J11" i="8"/>
  <c r="N10" i="8"/>
  <c r="M10" i="8"/>
  <c r="L10" i="8"/>
  <c r="K10" i="8"/>
  <c r="J10" i="8"/>
  <c r="N9" i="8"/>
  <c r="M9" i="8"/>
  <c r="L9" i="8"/>
  <c r="K9" i="8"/>
  <c r="J9" i="8"/>
  <c r="N8" i="8"/>
  <c r="M8" i="8"/>
  <c r="L8" i="8"/>
  <c r="K8" i="8"/>
  <c r="J8" i="8"/>
  <c r="N7" i="8"/>
  <c r="M7" i="8"/>
  <c r="L7" i="8"/>
  <c r="K7" i="8"/>
  <c r="J7" i="8"/>
  <c r="N6" i="8"/>
  <c r="M6" i="8"/>
  <c r="L6" i="8"/>
  <c r="K6" i="8"/>
  <c r="J6" i="8"/>
  <c r="N17" i="7"/>
  <c r="M17" i="7"/>
  <c r="L17" i="7"/>
  <c r="K17" i="7"/>
  <c r="J17" i="7"/>
  <c r="N16" i="7"/>
  <c r="M16" i="7"/>
  <c r="L16" i="7"/>
  <c r="K16" i="7"/>
  <c r="J16" i="7"/>
  <c r="N15" i="7"/>
  <c r="M15" i="7"/>
  <c r="L15" i="7"/>
  <c r="K15" i="7"/>
  <c r="J15" i="7"/>
  <c r="N14" i="7"/>
  <c r="M14" i="7"/>
  <c r="L14" i="7"/>
  <c r="K14" i="7"/>
  <c r="J14" i="7"/>
  <c r="N13" i="7"/>
  <c r="M13" i="7"/>
  <c r="L13" i="7"/>
  <c r="K13" i="7"/>
  <c r="J13" i="7"/>
  <c r="N12" i="7"/>
  <c r="M12" i="7"/>
  <c r="L12" i="7"/>
  <c r="K12" i="7"/>
  <c r="J12" i="7"/>
  <c r="N11" i="7"/>
  <c r="M11" i="7"/>
  <c r="L11" i="7"/>
  <c r="K11" i="7"/>
  <c r="J11" i="7"/>
  <c r="N10" i="7"/>
  <c r="M10" i="7"/>
  <c r="L10" i="7"/>
  <c r="K10" i="7"/>
  <c r="J10" i="7"/>
  <c r="N9" i="7"/>
  <c r="M9" i="7"/>
  <c r="L9" i="7"/>
  <c r="K9" i="7"/>
  <c r="J9" i="7"/>
  <c r="N8" i="7"/>
  <c r="M8" i="7"/>
  <c r="L8" i="7"/>
  <c r="K8" i="7"/>
  <c r="J8" i="7"/>
  <c r="N7" i="7"/>
  <c r="M7" i="7"/>
  <c r="L7" i="7"/>
  <c r="K7" i="7"/>
  <c r="J7" i="7"/>
  <c r="N6" i="7"/>
  <c r="M6" i="7"/>
  <c r="L6" i="7"/>
  <c r="K6" i="7"/>
  <c r="J6" i="7"/>
  <c r="N9" i="1"/>
  <c r="N17" i="1"/>
  <c r="M17" i="1"/>
  <c r="L17" i="1"/>
  <c r="K17" i="1"/>
  <c r="J17" i="1"/>
  <c r="N16" i="1"/>
  <c r="M16" i="1"/>
  <c r="L16" i="1"/>
  <c r="K16" i="1"/>
  <c r="J16" i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J13" i="1"/>
  <c r="N12" i="1"/>
  <c r="M12" i="1"/>
  <c r="L12" i="1"/>
  <c r="K12" i="1"/>
  <c r="J12" i="1"/>
  <c r="N11" i="1"/>
  <c r="M11" i="1"/>
  <c r="L11" i="1"/>
  <c r="K11" i="1"/>
  <c r="J11" i="1"/>
  <c r="N10" i="1"/>
  <c r="M10" i="1"/>
  <c r="L10" i="1"/>
  <c r="K10" i="1"/>
  <c r="J10" i="1"/>
  <c r="M9" i="1"/>
  <c r="L9" i="1"/>
  <c r="K9" i="1"/>
  <c r="J9" i="1"/>
  <c r="N8" i="1"/>
  <c r="M8" i="1"/>
  <c r="L8" i="1"/>
  <c r="K8" i="1"/>
  <c r="J8" i="1"/>
  <c r="N7" i="1"/>
  <c r="M7" i="1"/>
  <c r="L7" i="1"/>
  <c r="K7" i="1"/>
  <c r="J7" i="1"/>
  <c r="N6" i="1"/>
  <c r="M6" i="1"/>
  <c r="L6" i="1"/>
  <c r="K6" i="1"/>
  <c r="J6" i="1"/>
</calcChain>
</file>

<file path=xl/sharedStrings.xml><?xml version="1.0" encoding="utf-8"?>
<sst xmlns="http://schemas.openxmlformats.org/spreadsheetml/2006/main" count="400" uniqueCount="132">
  <si>
    <t>[ GR Metrics ]</t>
  </si>
  <si>
    <t>[ DR Metrics ]</t>
  </si>
  <si>
    <t>[ DR Runtime ]</t>
  </si>
  <si>
    <t>[ GR Wirelength % improvement]</t>
  </si>
  <si>
    <t>[ GR via count % improvement ]</t>
  </si>
  <si>
    <t>[ DR wirelength % improvement ]</t>
  </si>
  <si>
    <t>[ DR via count % improvement ]</t>
  </si>
  <si>
    <t>Runtime Improvement</t>
  </si>
  <si>
    <t>vs. FastRoute</t>
  </si>
  <si>
    <t xml:space="preserve">Design </t>
  </si>
  <si>
    <t xml:space="preserve">METRICS </t>
  </si>
  <si>
    <t>Wirelength(um)</t>
  </si>
  <si>
    <t xml:space="preserve">Via Count </t>
  </si>
  <si>
    <t xml:space="preserve">Runtime(ms) </t>
  </si>
  <si>
    <t>Wirelenght(um)</t>
  </si>
  <si>
    <t>[hh]:mm.ss</t>
  </si>
  <si>
    <t>AES</t>
  </si>
  <si>
    <t>FastRoute</t>
  </si>
  <si>
    <t>CUGR</t>
  </si>
  <si>
    <t>SPRoute</t>
  </si>
  <si>
    <t>ibex</t>
  </si>
  <si>
    <t>Jpeg</t>
  </si>
  <si>
    <t>10:01.83</t>
  </si>
  <si>
    <t>10:19.06</t>
  </si>
  <si>
    <t>8:00.69</t>
  </si>
  <si>
    <t>6:42.65</t>
  </si>
  <si>
    <t>10:17.28</t>
  </si>
  <si>
    <t>14:33.15</t>
  </si>
  <si>
    <t>13:21.92</t>
  </si>
  <si>
    <t>14:32.51</t>
  </si>
  <si>
    <t>20:42.08</t>
  </si>
  <si>
    <t>20:09.75</t>
  </si>
  <si>
    <t>17:10.77</t>
  </si>
  <si>
    <t>26:27.71</t>
  </si>
  <si>
    <t>10:12.82</t>
  </si>
  <si>
    <t>11:07.54</t>
  </si>
  <si>
    <t>10:21.64</t>
  </si>
  <si>
    <t>10:00.19</t>
  </si>
  <si>
    <t>11:24.48</t>
  </si>
  <si>
    <t>13:00.86</t>
  </si>
  <si>
    <t>13:06.41</t>
  </si>
  <si>
    <t>14:08.79</t>
  </si>
  <si>
    <t>18:59.66</t>
  </si>
  <si>
    <t>19:39.01</t>
  </si>
  <si>
    <t>17:27.60</t>
  </si>
  <si>
    <t>21:26.56</t>
  </si>
  <si>
    <t>10:41.59</t>
  </si>
  <si>
    <t>10:48.55</t>
  </si>
  <si>
    <t>10:05.83</t>
  </si>
  <si>
    <t>7:17.99</t>
  </si>
  <si>
    <t>10:17.98</t>
  </si>
  <si>
    <t>12:51.39</t>
  </si>
  <si>
    <t>13:37.29</t>
  </si>
  <si>
    <t>13:45.45</t>
  </si>
  <si>
    <t>24:32.22</t>
  </si>
  <si>
    <t>13:34.42</t>
  </si>
  <si>
    <t>11:05.00</t>
  </si>
  <si>
    <t>13:34.26</t>
  </si>
  <si>
    <t>10:46.23</t>
  </si>
  <si>
    <t>10:21.33</t>
  </si>
  <si>
    <t>9:05.35</t>
  </si>
  <si>
    <t>7:19.92</t>
  </si>
  <si>
    <t>16:37.75</t>
  </si>
  <si>
    <t>12:40.18</t>
  </si>
  <si>
    <t>14:12.35</t>
  </si>
  <si>
    <t>6:49.85</t>
  </si>
  <si>
    <t>12:30.79</t>
  </si>
  <si>
    <t>9:20.51</t>
  </si>
  <si>
    <t>7:22.34</t>
  </si>
  <si>
    <t>6:57.36</t>
  </si>
  <si>
    <t>10:02.53</t>
  </si>
  <si>
    <t>10:51.08</t>
  </si>
  <si>
    <t>10:26.21</t>
  </si>
  <si>
    <t>9:50.13</t>
  </si>
  <si>
    <t>12:21.14</t>
  </si>
  <si>
    <t>14:23.80</t>
  </si>
  <si>
    <t>13:25.56</t>
  </si>
  <si>
    <t>16:44.55</t>
  </si>
  <si>
    <t>20:26.39</t>
  </si>
  <si>
    <t>11:03.36</t>
  </si>
  <si>
    <t>12:37.86</t>
  </si>
  <si>
    <t>10:08.37</t>
  </si>
  <si>
    <t>10:50.17</t>
  </si>
  <si>
    <t>11:50.85</t>
  </si>
  <si>
    <t>10:13.64</t>
  </si>
  <si>
    <t>9:12.76</t>
  </si>
  <si>
    <t>12:04.77</t>
  </si>
  <si>
    <t>14:43.12</t>
  </si>
  <si>
    <t>12:47.30</t>
  </si>
  <si>
    <t>14:57.86</t>
  </si>
  <si>
    <t>22:44.81</t>
  </si>
  <si>
    <t>16:21.12</t>
  </si>
  <si>
    <t>25:32.49</t>
  </si>
  <si>
    <t>18:39.36</t>
  </si>
  <si>
    <t>10:33.36</t>
  </si>
  <si>
    <t>11:18.51</t>
  </si>
  <si>
    <t>10:15.22</t>
  </si>
  <si>
    <t>9:29.79</t>
  </si>
  <si>
    <t>12:55.67</t>
  </si>
  <si>
    <t>12:45.10</t>
  </si>
  <si>
    <t>12:44.60</t>
  </si>
  <si>
    <t>14:51.10</t>
  </si>
  <si>
    <t>27:38.15</t>
  </si>
  <si>
    <t>15:22.01</t>
  </si>
  <si>
    <t>28:04.73</t>
  </si>
  <si>
    <t>-</t>
  </si>
  <si>
    <t>11:17.57</t>
  </si>
  <si>
    <t>10:43.99</t>
  </si>
  <si>
    <t>9:54.76</t>
  </si>
  <si>
    <t>9:55.29</t>
  </si>
  <si>
    <t>11:36.32</t>
  </si>
  <si>
    <t>14:26.50</t>
  </si>
  <si>
    <t>14:34.15</t>
  </si>
  <si>
    <t>15:05.91</t>
  </si>
  <si>
    <t>20:23.03</t>
  </si>
  <si>
    <t>11:10.46</t>
  </si>
  <si>
    <t>13:37.24</t>
  </si>
  <si>
    <t>11:55.22</t>
  </si>
  <si>
    <t>11:09.89</t>
  </si>
  <si>
    <t>10:10.95</t>
  </si>
  <si>
    <t>11:13.25</t>
  </si>
  <si>
    <t>8:43.59</t>
  </si>
  <si>
    <t>13:57.01</t>
  </si>
  <si>
    <t>12:58.01</t>
  </si>
  <si>
    <t>15:19.77</t>
  </si>
  <si>
    <t>15:30.09</t>
  </si>
  <si>
    <t>22:44.45</t>
  </si>
  <si>
    <t>16:40.66</t>
  </si>
  <si>
    <t>28:59.66</t>
  </si>
  <si>
    <t>18:37.05</t>
  </si>
  <si>
    <t>vs. baseline</t>
  </si>
  <si>
    <t xml:space="preserve">NEWGR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</si>
</sst>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[Red]\-0.0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4"/>
      <color theme="1"/>
      <name val="JetBrains Mono Light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4" xfId="0" applyBorder="1"/>
    <xf numFmtId="0" fontId="0" fillId="0" borderId="8" xfId="0" applyBorder="1"/>
    <xf numFmtId="0" fontId="0" fillId="0" borderId="4" xfId="0" applyBorder="1" applyAlignment="1">
      <alignment vertical="center"/>
    </xf>
    <xf numFmtId="0" fontId="0" fillId="0" borderId="11" xfId="0" applyBorder="1"/>
    <xf numFmtId="0" fontId="0" fillId="0" borderId="9" xfId="0" applyBorder="1"/>
    <xf numFmtId="0" fontId="0" fillId="0" borderId="11" xfId="0" applyBorder="1" applyAlignment="1">
      <alignment vertical="center"/>
    </xf>
    <xf numFmtId="0" fontId="0" fillId="0" borderId="5" xfId="0" applyBorder="1"/>
    <xf numFmtId="164" fontId="0" fillId="0" borderId="4" xfId="1" applyNumberFormat="1" applyFont="1" applyBorder="1"/>
    <xf numFmtId="164" fontId="0" fillId="0" borderId="1" xfId="1" applyNumberFormat="1" applyFont="1" applyBorder="1"/>
    <xf numFmtId="164" fontId="0" fillId="0" borderId="11" xfId="1" applyNumberFormat="1" applyFont="1" applyBorder="1"/>
    <xf numFmtId="164" fontId="0" fillId="0" borderId="9" xfId="1" applyNumberFormat="1" applyFont="1" applyBorder="1"/>
    <xf numFmtId="0" fontId="2" fillId="0" borderId="8" xfId="0" applyFont="1" applyBorder="1"/>
    <xf numFmtId="1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164" fontId="0" fillId="0" borderId="8" xfId="1" applyNumberFormat="1" applyFont="1" applyBorder="1"/>
    <xf numFmtId="164" fontId="0" fillId="0" borderId="5" xfId="1" applyNumberFormat="1" applyFont="1" applyBorder="1"/>
    <xf numFmtId="164" fontId="2" fillId="0" borderId="11" xfId="1" applyNumberFormat="1" applyFont="1" applyBorder="1"/>
    <xf numFmtId="0" fontId="0" fillId="0" borderId="1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164" fontId="0" fillId="0" borderId="2" xfId="1" applyNumberFormat="1" applyFont="1" applyBorder="1"/>
    <xf numFmtId="164" fontId="0" fillId="0" borderId="0" xfId="1" applyNumberFormat="1" applyFont="1" applyBorder="1"/>
    <xf numFmtId="164" fontId="0" fillId="0" borderId="6" xfId="1" applyNumberFormat="1" applyFont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64" fontId="0" fillId="0" borderId="7" xfId="1" applyNumberFormat="1" applyFont="1" applyBorder="1"/>
    <xf numFmtId="164" fontId="4" fillId="0" borderId="4" xfId="1" applyNumberFormat="1" applyFont="1" applyBorder="1"/>
    <xf numFmtId="164" fontId="2" fillId="0" borderId="4" xfId="1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FCF8-DC98-7F42-893B-CC948892F637}">
  <dimension ref="B1:N25"/>
  <sheetViews>
    <sheetView zoomScale="207" workbookViewId="0">
      <selection activeCell="C17" activeCellId="1" sqref="C13 C17"/>
    </sheetView>
  </sheetViews>
  <sheetFormatPr baseColWidth="10" defaultRowHeight="16" x14ac:dyDescent="0.2"/>
  <cols>
    <col min="2" max="2" width="11" bestFit="1" customWidth="1"/>
    <col min="3" max="3" width="10.5" bestFit="1" customWidth="1"/>
    <col min="4" max="4" width="13.83203125" bestFit="1" customWidth="1"/>
    <col min="5" max="5" width="10.5" bestFit="1" customWidth="1"/>
    <col min="6" max="6" width="12" bestFit="1" customWidth="1"/>
    <col min="7" max="7" width="13.83203125" bestFit="1" customWidth="1"/>
    <col min="8" max="8" width="10.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50" t="s">
        <v>0</v>
      </c>
      <c r="E2" s="41"/>
      <c r="F2" s="43"/>
      <c r="G2" s="50" t="s">
        <v>1</v>
      </c>
      <c r="H2" s="41"/>
      <c r="I2" s="46" t="s">
        <v>2</v>
      </c>
      <c r="J2" s="52" t="s">
        <v>3</v>
      </c>
      <c r="K2" s="52" t="s">
        <v>4</v>
      </c>
      <c r="L2" s="52" t="s">
        <v>5</v>
      </c>
      <c r="M2" s="37" t="s">
        <v>6</v>
      </c>
      <c r="N2" s="4" t="s">
        <v>7</v>
      </c>
    </row>
    <row r="3" spans="2:14" x14ac:dyDescent="0.2">
      <c r="B3" s="3"/>
      <c r="D3" s="51"/>
      <c r="E3" s="42"/>
      <c r="F3" s="44"/>
      <c r="G3" s="51"/>
      <c r="H3" s="42"/>
      <c r="I3" s="47"/>
      <c r="J3" s="53"/>
      <c r="K3" s="53"/>
      <c r="L3" s="53"/>
      <c r="M3" s="38"/>
      <c r="N3" s="5" t="s">
        <v>8</v>
      </c>
    </row>
    <row r="4" spans="2:14" x14ac:dyDescent="0.2">
      <c r="B4" s="6" t="s">
        <v>9</v>
      </c>
      <c r="C4" s="4" t="s">
        <v>10</v>
      </c>
      <c r="D4" s="39" t="s">
        <v>11</v>
      </c>
      <c r="E4" s="41" t="s">
        <v>12</v>
      </c>
      <c r="F4" s="43" t="s">
        <v>13</v>
      </c>
      <c r="G4" s="45" t="s">
        <v>14</v>
      </c>
      <c r="H4" s="45" t="s">
        <v>12</v>
      </c>
      <c r="I4" s="46" t="s">
        <v>15</v>
      </c>
      <c r="J4" s="48"/>
      <c r="K4" s="7"/>
      <c r="L4" s="7"/>
      <c r="M4" s="8"/>
      <c r="N4" s="7"/>
    </row>
    <row r="5" spans="2:14" x14ac:dyDescent="0.2">
      <c r="B5" s="9"/>
      <c r="C5" s="7"/>
      <c r="D5" s="40"/>
      <c r="E5" s="42"/>
      <c r="F5" s="44"/>
      <c r="G5" s="42"/>
      <c r="H5" s="42"/>
      <c r="I5" s="47"/>
      <c r="J5" s="49"/>
      <c r="K5" s="5"/>
      <c r="L5" s="5"/>
      <c r="M5" s="10"/>
      <c r="N5" s="7"/>
    </row>
    <row r="6" spans="2:14" x14ac:dyDescent="0.2">
      <c r="B6" s="52" t="s">
        <v>16</v>
      </c>
      <c r="C6" s="4" t="s">
        <v>17</v>
      </c>
      <c r="D6" s="24">
        <v>88044</v>
      </c>
      <c r="E6" s="25">
        <v>138105</v>
      </c>
      <c r="F6" s="26">
        <v>2979</v>
      </c>
      <c r="G6" s="25">
        <v>63245</v>
      </c>
      <c r="H6" s="25">
        <v>160280</v>
      </c>
      <c r="I6" s="4" t="s">
        <v>34</v>
      </c>
      <c r="J6" s="11">
        <f>(D6-D6)/D6</f>
        <v>0</v>
      </c>
      <c r="K6" s="11">
        <f>(E6-E6)/E6</f>
        <v>0</v>
      </c>
      <c r="L6" s="11">
        <f>(G6-G6)/G6</f>
        <v>0</v>
      </c>
      <c r="M6" s="12">
        <f>(H6-H6)/H6</f>
        <v>0</v>
      </c>
      <c r="N6" s="11">
        <f>(F6-F6)/F6</f>
        <v>0</v>
      </c>
    </row>
    <row r="7" spans="2:14" x14ac:dyDescent="0.2">
      <c r="B7" s="54"/>
      <c r="C7" s="7" t="s">
        <v>18</v>
      </c>
      <c r="D7" s="8">
        <v>85526</v>
      </c>
      <c r="E7">
        <v>132406</v>
      </c>
      <c r="F7" s="23">
        <v>1441</v>
      </c>
      <c r="G7">
        <v>62554</v>
      </c>
      <c r="H7">
        <v>160385</v>
      </c>
      <c r="I7" s="7" t="s">
        <v>35</v>
      </c>
      <c r="J7" s="13">
        <f>(D6-D7)/D6</f>
        <v>2.8599336695288718E-2</v>
      </c>
      <c r="K7" s="13">
        <f>(E6-E7)/E6</f>
        <v>4.1265703631295031E-2</v>
      </c>
      <c r="L7" s="13">
        <f>(G6-G7)/G6</f>
        <v>1.0925764882599415E-2</v>
      </c>
      <c r="M7" s="14">
        <f>(H6-H7)/H6</f>
        <v>-6.5510356875467929E-4</v>
      </c>
      <c r="N7" s="13">
        <f>(F6-F7)/F6</f>
        <v>0.51628063108425648</v>
      </c>
    </row>
    <row r="8" spans="2:14" x14ac:dyDescent="0.2">
      <c r="B8" s="54"/>
      <c r="C8" s="7" t="s">
        <v>19</v>
      </c>
      <c r="D8" s="8">
        <v>87423</v>
      </c>
      <c r="E8">
        <v>112698</v>
      </c>
      <c r="F8" s="23">
        <v>1007</v>
      </c>
      <c r="G8">
        <v>62605</v>
      </c>
      <c r="H8">
        <v>160135</v>
      </c>
      <c r="I8" s="7" t="s">
        <v>36</v>
      </c>
      <c r="J8" s="13">
        <f>(D6-D8)/D6</f>
        <v>7.0532915360501571E-3</v>
      </c>
      <c r="K8" s="13">
        <f>(E6-E8)/E6</f>
        <v>0.18396871945259041</v>
      </c>
      <c r="L8" s="13">
        <f>(G6-G8)/G6</f>
        <v>1.0119377025851846E-2</v>
      </c>
      <c r="M8" s="14">
        <f>(H6-H8)/H6</f>
        <v>9.0466683304217619E-4</v>
      </c>
      <c r="N8" s="13">
        <f>(F6-F8)/F6</f>
        <v>0.6619671030547164</v>
      </c>
    </row>
    <row r="9" spans="2:14" x14ac:dyDescent="0.2">
      <c r="B9" s="53"/>
      <c r="C9" s="15" t="s">
        <v>131</v>
      </c>
      <c r="D9" s="10">
        <v>85526</v>
      </c>
      <c r="E9" s="27">
        <v>132406</v>
      </c>
      <c r="F9" s="28">
        <v>37397</v>
      </c>
      <c r="G9" s="27">
        <v>62554</v>
      </c>
      <c r="H9" s="27">
        <v>160385</v>
      </c>
      <c r="I9" s="5" t="s">
        <v>37</v>
      </c>
      <c r="J9" s="20">
        <f>(D6-D9)/D6</f>
        <v>2.8599336695288718E-2</v>
      </c>
      <c r="K9" s="20">
        <f>(E6-E9)/E6</f>
        <v>4.1265703631295031E-2</v>
      </c>
      <c r="L9" s="20">
        <f>(G6-G9)/G6</f>
        <v>1.0925764882599415E-2</v>
      </c>
      <c r="M9" s="21">
        <f>(H6-H9)/H6</f>
        <v>-6.5510356875467929E-4</v>
      </c>
      <c r="N9" s="20">
        <f>(F6-F9)/F6</f>
        <v>-11.553541456864719</v>
      </c>
    </row>
    <row r="10" spans="2:14" x14ac:dyDescent="0.2">
      <c r="B10" s="52" t="s">
        <v>20</v>
      </c>
      <c r="C10" s="4" t="s">
        <v>17</v>
      </c>
      <c r="D10" s="8">
        <v>124627</v>
      </c>
      <c r="E10">
        <v>173628</v>
      </c>
      <c r="F10" s="23">
        <v>3925</v>
      </c>
      <c r="G10">
        <v>93235</v>
      </c>
      <c r="H10">
        <v>205156</v>
      </c>
      <c r="I10" s="7" t="s">
        <v>38</v>
      </c>
      <c r="J10" s="11">
        <f>(D10-D10)/D10</f>
        <v>0</v>
      </c>
      <c r="K10" s="11">
        <f>(E10-E10)/E10</f>
        <v>0</v>
      </c>
      <c r="L10" s="11">
        <f>(G10-G10)/G10</f>
        <v>0</v>
      </c>
      <c r="M10" s="12">
        <f>(H10-H10)/H10</f>
        <v>0</v>
      </c>
      <c r="N10" s="11">
        <f>(F10-F10)/F10</f>
        <v>0</v>
      </c>
    </row>
    <row r="11" spans="2:14" x14ac:dyDescent="0.2">
      <c r="B11" s="54"/>
      <c r="C11" s="7" t="s">
        <v>18</v>
      </c>
      <c r="D11" s="8">
        <v>121638</v>
      </c>
      <c r="E11">
        <v>169038</v>
      </c>
      <c r="F11" s="23">
        <v>2293</v>
      </c>
      <c r="G11">
        <v>91679</v>
      </c>
      <c r="H11">
        <v>201444</v>
      </c>
      <c r="I11" s="7" t="s">
        <v>39</v>
      </c>
      <c r="J11" s="13">
        <f>(D10-D11)/D10</f>
        <v>2.3983566963820039E-2</v>
      </c>
      <c r="K11" s="13">
        <f>(E10-E11)/E10</f>
        <v>2.6435828322620775E-2</v>
      </c>
      <c r="L11" s="13">
        <f>(G10-G11)/G10</f>
        <v>1.6689011637260685E-2</v>
      </c>
      <c r="M11" s="14">
        <f>(H10-H11)/H10</f>
        <v>1.8093548324202069E-2</v>
      </c>
      <c r="N11" s="13">
        <f>(F10-F11)/F10</f>
        <v>0.41579617834394905</v>
      </c>
    </row>
    <row r="12" spans="2:14" x14ac:dyDescent="0.2">
      <c r="B12" s="54"/>
      <c r="C12" s="7" t="s">
        <v>19</v>
      </c>
      <c r="D12" s="8">
        <v>123539</v>
      </c>
      <c r="E12">
        <v>134130</v>
      </c>
      <c r="F12" s="23">
        <v>1725</v>
      </c>
      <c r="G12">
        <v>92419</v>
      </c>
      <c r="H12">
        <v>204659</v>
      </c>
      <c r="I12" s="7" t="s">
        <v>40</v>
      </c>
      <c r="J12" s="13">
        <f>(D10-D12)/D10</f>
        <v>8.7300504706042826E-3</v>
      </c>
      <c r="K12" s="13">
        <f>(E10-E12)/E10</f>
        <v>0.22748635012785956</v>
      </c>
      <c r="L12" s="13">
        <f>(G10-G12)/G10</f>
        <v>8.7520780822652432E-3</v>
      </c>
      <c r="M12" s="14">
        <f>(H10-H12)/H10</f>
        <v>2.422546744916064E-3</v>
      </c>
      <c r="N12" s="13">
        <f>(F10-F12)/F10</f>
        <v>0.56050955414012738</v>
      </c>
    </row>
    <row r="13" spans="2:14" x14ac:dyDescent="0.2">
      <c r="B13" s="53"/>
      <c r="C13" s="15" t="s">
        <v>131</v>
      </c>
      <c r="D13" s="8">
        <v>121638</v>
      </c>
      <c r="E13">
        <v>169038</v>
      </c>
      <c r="F13" s="23">
        <v>115636</v>
      </c>
      <c r="G13">
        <v>91679</v>
      </c>
      <c r="H13">
        <v>201444</v>
      </c>
      <c r="I13" s="7" t="s">
        <v>41</v>
      </c>
      <c r="J13" s="20">
        <f>(D10-D13)/D10</f>
        <v>2.3983566963820039E-2</v>
      </c>
      <c r="K13" s="20">
        <f>(E10-E13)/E10</f>
        <v>2.6435828322620775E-2</v>
      </c>
      <c r="L13" s="20">
        <f>(G10-G13)/G10</f>
        <v>1.6689011637260685E-2</v>
      </c>
      <c r="M13" s="21">
        <f>(H10-H13)/H10</f>
        <v>1.8093548324202069E-2</v>
      </c>
      <c r="N13" s="20">
        <f>(F10-F13)/F10</f>
        <v>-28.46140127388535</v>
      </c>
    </row>
    <row r="14" spans="2:14" x14ac:dyDescent="0.2">
      <c r="B14" s="52" t="s">
        <v>21</v>
      </c>
      <c r="C14" s="4" t="s">
        <v>17</v>
      </c>
      <c r="D14" s="24">
        <v>230767</v>
      </c>
      <c r="E14" s="25">
        <v>429418</v>
      </c>
      <c r="F14" s="26">
        <v>6353</v>
      </c>
      <c r="G14" s="25">
        <v>154668</v>
      </c>
      <c r="H14" s="25">
        <v>459373</v>
      </c>
      <c r="I14" s="4" t="s">
        <v>42</v>
      </c>
      <c r="J14" s="11">
        <f>(D14-D14)/D14</f>
        <v>0</v>
      </c>
      <c r="K14" s="11">
        <f>(E14-E14)/E14</f>
        <v>0</v>
      </c>
      <c r="L14" s="11">
        <f>(G14-G14)/G14</f>
        <v>0</v>
      </c>
      <c r="M14" s="12">
        <f>(H14-H14)/H14</f>
        <v>0</v>
      </c>
      <c r="N14" s="11">
        <f>(F14-F14)/F14</f>
        <v>0</v>
      </c>
    </row>
    <row r="15" spans="2:14" x14ac:dyDescent="0.2">
      <c r="B15" s="54"/>
      <c r="C15" s="7" t="s">
        <v>18</v>
      </c>
      <c r="D15" s="8">
        <v>221678</v>
      </c>
      <c r="E15">
        <v>414580</v>
      </c>
      <c r="F15" s="23">
        <v>4396</v>
      </c>
      <c r="G15">
        <v>153392</v>
      </c>
      <c r="H15">
        <v>462388</v>
      </c>
      <c r="I15" s="7" t="s">
        <v>43</v>
      </c>
      <c r="J15" s="13">
        <f>(D14-D15)/D14</f>
        <v>3.9386047398458184E-2</v>
      </c>
      <c r="K15" s="13">
        <f>(E14-E15)/E14</f>
        <v>3.4553744836033885E-2</v>
      </c>
      <c r="L15" s="13">
        <f>(G14-G15)/G14</f>
        <v>8.2499288799234485E-3</v>
      </c>
      <c r="M15" s="14">
        <f>(H14-H15)/H14</f>
        <v>-6.5632938810073734E-3</v>
      </c>
      <c r="N15" s="13">
        <f>(F14-F15)/F14</f>
        <v>0.30804344404218481</v>
      </c>
    </row>
    <row r="16" spans="2:14" x14ac:dyDescent="0.2">
      <c r="B16" s="54"/>
      <c r="C16" s="7" t="s">
        <v>19</v>
      </c>
      <c r="D16" s="8">
        <v>229009</v>
      </c>
      <c r="E16">
        <v>320202</v>
      </c>
      <c r="F16" s="23">
        <v>2940</v>
      </c>
      <c r="G16">
        <v>153194</v>
      </c>
      <c r="H16">
        <v>457463</v>
      </c>
      <c r="I16" s="7" t="s">
        <v>44</v>
      </c>
      <c r="J16" s="13">
        <f>(D14-D16)/D14</f>
        <v>7.6180736413785331E-3</v>
      </c>
      <c r="K16" s="13">
        <f>(E14-E16)/E14</f>
        <v>0.25433493705433868</v>
      </c>
      <c r="L16" s="13">
        <f>(G14-G16)/G14</f>
        <v>9.5300902578426046E-3</v>
      </c>
      <c r="M16" s="14">
        <f>(H14-H16)/H14</f>
        <v>4.1578412314176062E-3</v>
      </c>
      <c r="N16" s="13">
        <f>(F14-F16)/F14</f>
        <v>0.53722650716197073</v>
      </c>
    </row>
    <row r="17" spans="2:14" x14ac:dyDescent="0.2">
      <c r="B17" s="53"/>
      <c r="C17" s="15" t="s">
        <v>131</v>
      </c>
      <c r="D17" s="10">
        <v>221678</v>
      </c>
      <c r="E17" s="27">
        <v>414580</v>
      </c>
      <c r="F17" s="28">
        <v>680293</v>
      </c>
      <c r="G17" s="27">
        <v>153392</v>
      </c>
      <c r="H17" s="27">
        <v>462388</v>
      </c>
      <c r="I17" s="5" t="s">
        <v>45</v>
      </c>
      <c r="J17" s="20">
        <f>(D14-D17)/D14</f>
        <v>3.9386047398458184E-2</v>
      </c>
      <c r="K17" s="20">
        <f>(E14-E17)/E14</f>
        <v>3.4553744836033885E-2</v>
      </c>
      <c r="L17" s="20">
        <f>(G14-G17)/G14</f>
        <v>8.2499288799234485E-3</v>
      </c>
      <c r="M17" s="21">
        <f>(H14-H17)/H14</f>
        <v>-6.5632938810073734E-3</v>
      </c>
      <c r="N17" s="20">
        <f>(F14-F17)/F14</f>
        <v>-106.08216590587124</v>
      </c>
    </row>
    <row r="18" spans="2:14" ht="19" customHeight="1" x14ac:dyDescent="0.2"/>
    <row r="19" spans="2:14" ht="19" customHeight="1" x14ac:dyDescent="0.2"/>
    <row r="20" spans="2:14" ht="19" customHeight="1" x14ac:dyDescent="0.2"/>
    <row r="21" spans="2:14" ht="19" customHeight="1" x14ac:dyDescent="0.2"/>
    <row r="22" spans="2:14" ht="19" customHeight="1" x14ac:dyDescent="0.2"/>
    <row r="23" spans="2:14" ht="19" customHeight="1" x14ac:dyDescent="0.2"/>
    <row r="24" spans="2:14" ht="19" customHeight="1" x14ac:dyDescent="0.2"/>
    <row r="25" spans="2:14" ht="19" customHeight="1" x14ac:dyDescent="0.2"/>
  </sheetData>
  <mergeCells count="17"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  <mergeCell ref="L2:L3"/>
  </mergeCells>
  <conditionalFormatting sqref="J6:N17">
    <cfRule type="cellIs" dxfId="8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6A1A-FF65-7F48-B0A0-D964C80014EF}">
  <dimension ref="B1:N17"/>
  <sheetViews>
    <sheetView zoomScale="94" workbookViewId="0">
      <selection activeCell="C17" activeCellId="2" sqref="C9 C13 C17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6640625" bestFit="1" customWidth="1"/>
    <col min="11" max="11" width="26.5" bestFit="1" customWidth="1"/>
    <col min="12" max="12" width="27.6640625" bestFit="1" customWidth="1"/>
    <col min="13" max="13" width="26.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50" t="s">
        <v>0</v>
      </c>
      <c r="E2" s="41"/>
      <c r="F2" s="43"/>
      <c r="G2" s="50" t="s">
        <v>1</v>
      </c>
      <c r="H2" s="41"/>
      <c r="I2" s="46" t="s">
        <v>2</v>
      </c>
      <c r="J2" s="52" t="s">
        <v>3</v>
      </c>
      <c r="K2" s="52" t="s">
        <v>4</v>
      </c>
      <c r="L2" s="52" t="s">
        <v>5</v>
      </c>
      <c r="M2" s="37" t="s">
        <v>6</v>
      </c>
      <c r="N2" s="4" t="s">
        <v>7</v>
      </c>
    </row>
    <row r="3" spans="2:14" x14ac:dyDescent="0.2">
      <c r="B3" s="3"/>
      <c r="D3" s="51"/>
      <c r="E3" s="42"/>
      <c r="F3" s="44"/>
      <c r="G3" s="51"/>
      <c r="H3" s="42"/>
      <c r="I3" s="47"/>
      <c r="J3" s="53"/>
      <c r="K3" s="53"/>
      <c r="L3" s="53"/>
      <c r="M3" s="38"/>
      <c r="N3" s="5" t="s">
        <v>8</v>
      </c>
    </row>
    <row r="4" spans="2:14" x14ac:dyDescent="0.2">
      <c r="B4" s="6" t="s">
        <v>9</v>
      </c>
      <c r="C4" s="4" t="s">
        <v>10</v>
      </c>
      <c r="D4" s="39" t="s">
        <v>11</v>
      </c>
      <c r="E4" s="41" t="s">
        <v>12</v>
      </c>
      <c r="F4" s="43" t="s">
        <v>13</v>
      </c>
      <c r="G4" s="45" t="s">
        <v>14</v>
      </c>
      <c r="H4" s="45" t="s">
        <v>12</v>
      </c>
      <c r="I4" s="46" t="s">
        <v>15</v>
      </c>
      <c r="J4" s="48"/>
      <c r="K4" s="7"/>
      <c r="L4" s="7"/>
      <c r="M4" s="8"/>
      <c r="N4" s="7"/>
    </row>
    <row r="5" spans="2:14" x14ac:dyDescent="0.2">
      <c r="B5" s="9"/>
      <c r="C5" s="7"/>
      <c r="D5" s="40"/>
      <c r="E5" s="42"/>
      <c r="F5" s="44"/>
      <c r="G5" s="42"/>
      <c r="H5" s="42"/>
      <c r="I5" s="47"/>
      <c r="J5" s="49"/>
      <c r="K5" s="5"/>
      <c r="L5" s="5"/>
      <c r="M5" s="10"/>
      <c r="N5" s="7"/>
    </row>
    <row r="6" spans="2:14" x14ac:dyDescent="0.2">
      <c r="B6" s="52" t="s">
        <v>16</v>
      </c>
      <c r="C6" s="4" t="s">
        <v>17</v>
      </c>
      <c r="D6" s="8">
        <v>88044</v>
      </c>
      <c r="E6">
        <v>138105</v>
      </c>
      <c r="F6" s="23">
        <v>2808</v>
      </c>
      <c r="G6">
        <v>63245</v>
      </c>
      <c r="H6">
        <v>160280</v>
      </c>
      <c r="I6" s="7" t="s">
        <v>46</v>
      </c>
      <c r="J6" s="11">
        <f>(D6-D6)/D6</f>
        <v>0</v>
      </c>
      <c r="K6" s="11">
        <f>(E6-E6)/E6</f>
        <v>0</v>
      </c>
      <c r="L6" s="11">
        <f>(G6-G6)/G6</f>
        <v>0</v>
      </c>
      <c r="M6" s="12">
        <f>(H6-H6)/H6</f>
        <v>0</v>
      </c>
      <c r="N6" s="11">
        <f>(F6-F6)/F6</f>
        <v>0</v>
      </c>
    </row>
    <row r="7" spans="2:14" x14ac:dyDescent="0.2">
      <c r="B7" s="54"/>
      <c r="C7" s="7" t="s">
        <v>18</v>
      </c>
      <c r="D7" s="8">
        <v>85526</v>
      </c>
      <c r="E7">
        <v>132406</v>
      </c>
      <c r="F7" s="23">
        <v>1749</v>
      </c>
      <c r="G7">
        <v>62554</v>
      </c>
      <c r="H7">
        <v>160385</v>
      </c>
      <c r="I7" s="7" t="s">
        <v>47</v>
      </c>
      <c r="J7" s="13">
        <f>(D6-D7)/D6</f>
        <v>2.8599336695288718E-2</v>
      </c>
      <c r="K7" s="13">
        <f>(E6-E7)/E6</f>
        <v>4.1265703631295031E-2</v>
      </c>
      <c r="L7" s="13">
        <f>(G6-G7)/G6</f>
        <v>1.0925764882599415E-2</v>
      </c>
      <c r="M7" s="14">
        <f>(H6-H7)/H6</f>
        <v>-6.5510356875467929E-4</v>
      </c>
      <c r="N7" s="13">
        <f>(F6-F7)/F6</f>
        <v>0.37713675213675213</v>
      </c>
    </row>
    <row r="8" spans="2:14" x14ac:dyDescent="0.2">
      <c r="B8" s="54"/>
      <c r="C8" s="7" t="s">
        <v>19</v>
      </c>
      <c r="D8" s="8">
        <v>87423</v>
      </c>
      <c r="E8">
        <v>112698</v>
      </c>
      <c r="F8" s="23">
        <v>1257</v>
      </c>
      <c r="G8">
        <v>62605</v>
      </c>
      <c r="H8">
        <v>160135</v>
      </c>
      <c r="I8" s="7" t="s">
        <v>48</v>
      </c>
      <c r="J8" s="13">
        <f>(D6-D8)/D6</f>
        <v>7.0532915360501571E-3</v>
      </c>
      <c r="K8" s="13">
        <f>(E6-E8)/E6</f>
        <v>0.18396871945259041</v>
      </c>
      <c r="L8" s="13">
        <f>(G6-G8)/G6</f>
        <v>1.0119377025851846E-2</v>
      </c>
      <c r="M8" s="14">
        <f>(H6-H8)/H6</f>
        <v>9.0466683304217619E-4</v>
      </c>
      <c r="N8" s="13">
        <f>(F6-F8)/F6</f>
        <v>0.55235042735042739</v>
      </c>
    </row>
    <row r="9" spans="2:14" x14ac:dyDescent="0.2">
      <c r="B9" s="53"/>
      <c r="C9" s="15" t="s">
        <v>131</v>
      </c>
      <c r="D9" s="8">
        <v>89270</v>
      </c>
      <c r="F9" s="23">
        <v>5087</v>
      </c>
      <c r="G9">
        <v>62913</v>
      </c>
      <c r="H9">
        <v>157893</v>
      </c>
      <c r="I9" s="7" t="s">
        <v>49</v>
      </c>
      <c r="J9" s="20">
        <f>(D6-D9)/D6</f>
        <v>-1.3924855753941211E-2</v>
      </c>
      <c r="K9" s="20">
        <f>(E6-E9)/E6</f>
        <v>1</v>
      </c>
      <c r="L9" s="20">
        <f>(G6-G9)/G6</f>
        <v>5.2494268321606448E-3</v>
      </c>
      <c r="M9" s="21">
        <f>(H6-H9)/H6</f>
        <v>1.4892687796356377E-2</v>
      </c>
      <c r="N9" s="20">
        <f>(F6-F9)/F6</f>
        <v>-0.81160968660968658</v>
      </c>
    </row>
    <row r="10" spans="2:14" x14ac:dyDescent="0.2">
      <c r="B10" s="52" t="s">
        <v>20</v>
      </c>
      <c r="C10" s="4" t="s">
        <v>17</v>
      </c>
      <c r="D10" s="24">
        <v>124627</v>
      </c>
      <c r="E10" s="25">
        <v>173628</v>
      </c>
      <c r="F10" s="26">
        <v>3204</v>
      </c>
      <c r="G10" s="25">
        <v>93235</v>
      </c>
      <c r="H10" s="25">
        <v>205156</v>
      </c>
      <c r="I10" s="4" t="s">
        <v>50</v>
      </c>
      <c r="J10" s="11">
        <f>(D10-D10)/D10</f>
        <v>0</v>
      </c>
      <c r="K10" s="11">
        <f>(E10-E10)/E10</f>
        <v>0</v>
      </c>
      <c r="L10" s="11">
        <f>(G10-G10)/G10</f>
        <v>0</v>
      </c>
      <c r="M10" s="12">
        <f>(H10-H10)/H10</f>
        <v>0</v>
      </c>
      <c r="N10" s="11">
        <f>(F10-F10)/F10</f>
        <v>0</v>
      </c>
    </row>
    <row r="11" spans="2:14" x14ac:dyDescent="0.2">
      <c r="B11" s="54"/>
      <c r="C11" s="7" t="s">
        <v>18</v>
      </c>
      <c r="D11" s="8">
        <v>121638</v>
      </c>
      <c r="E11">
        <v>169038</v>
      </c>
      <c r="F11" s="23">
        <v>2305</v>
      </c>
      <c r="G11">
        <v>91679</v>
      </c>
      <c r="H11">
        <v>201444</v>
      </c>
      <c r="I11" s="7" t="s">
        <v>51</v>
      </c>
      <c r="J11" s="13">
        <f>(D10-D11)/D10</f>
        <v>2.3983566963820039E-2</v>
      </c>
      <c r="K11" s="13">
        <f>(E10-E11)/E10</f>
        <v>2.6435828322620775E-2</v>
      </c>
      <c r="L11" s="13">
        <f>(G10-G11)/G10</f>
        <v>1.6689011637260685E-2</v>
      </c>
      <c r="M11" s="14">
        <f>(H10-H11)/H10</f>
        <v>1.8093548324202069E-2</v>
      </c>
      <c r="N11" s="13">
        <f>(F10-F11)/F10</f>
        <v>0.28058676654182274</v>
      </c>
    </row>
    <row r="12" spans="2:14" x14ac:dyDescent="0.2">
      <c r="B12" s="54"/>
      <c r="C12" s="7" t="s">
        <v>19</v>
      </c>
      <c r="D12" s="8">
        <v>123539</v>
      </c>
      <c r="E12">
        <v>134130</v>
      </c>
      <c r="F12" s="23">
        <v>1838</v>
      </c>
      <c r="G12">
        <v>92419</v>
      </c>
      <c r="H12">
        <v>204659</v>
      </c>
      <c r="I12" s="7" t="s">
        <v>52</v>
      </c>
      <c r="J12" s="13">
        <f>(D10-D12)/D10</f>
        <v>8.7300504706042826E-3</v>
      </c>
      <c r="K12" s="13">
        <f>(E10-E12)/E10</f>
        <v>0.22748635012785956</v>
      </c>
      <c r="L12" s="13">
        <f>(G10-G12)/G10</f>
        <v>8.7520780822652432E-3</v>
      </c>
      <c r="M12" s="14">
        <f>(H10-H12)/H10</f>
        <v>2.422546744916064E-3</v>
      </c>
      <c r="N12" s="13">
        <f>(F10-F12)/F10</f>
        <v>0.42634207240948813</v>
      </c>
    </row>
    <row r="13" spans="2:14" x14ac:dyDescent="0.2">
      <c r="B13" s="53"/>
      <c r="C13" s="15" t="s">
        <v>131</v>
      </c>
      <c r="D13" s="10">
        <v>125879</v>
      </c>
      <c r="E13" s="27"/>
      <c r="F13" s="28">
        <v>8472</v>
      </c>
      <c r="G13" s="27">
        <v>92566</v>
      </c>
      <c r="H13" s="27">
        <v>198075</v>
      </c>
      <c r="I13" s="5" t="s">
        <v>53</v>
      </c>
      <c r="J13" s="20">
        <f>(D10-D13)/D10</f>
        <v>-1.0045977195952722E-2</v>
      </c>
      <c r="K13" s="20">
        <f>(E10-E13)/E10</f>
        <v>1</v>
      </c>
      <c r="L13" s="20">
        <f>(G10-G13)/G10</f>
        <v>7.175416957151284E-3</v>
      </c>
      <c r="M13" s="21">
        <f>(H10-H13)/H10</f>
        <v>3.451519819064517E-2</v>
      </c>
      <c r="N13" s="20">
        <f>(F10-F13)/F10</f>
        <v>-1.6441947565543071</v>
      </c>
    </row>
    <row r="14" spans="2:14" x14ac:dyDescent="0.2">
      <c r="B14" s="52" t="s">
        <v>21</v>
      </c>
      <c r="C14" s="4" t="s">
        <v>17</v>
      </c>
      <c r="D14" s="8">
        <v>230767</v>
      </c>
      <c r="E14">
        <v>429418</v>
      </c>
      <c r="F14" s="23">
        <v>6793</v>
      </c>
      <c r="G14" s="24">
        <v>154668</v>
      </c>
      <c r="H14" s="25">
        <v>459373</v>
      </c>
      <c r="I14" s="4" t="s">
        <v>54</v>
      </c>
      <c r="J14" s="11">
        <f>(D14-D14)/D14</f>
        <v>0</v>
      </c>
      <c r="K14" s="11">
        <f>(E14-E14)/E14</f>
        <v>0</v>
      </c>
      <c r="L14" s="11">
        <f>(G14-G14)/G14</f>
        <v>0</v>
      </c>
      <c r="M14" s="12">
        <f>(H14-H14)/H14</f>
        <v>0</v>
      </c>
      <c r="N14" s="11">
        <f>(F14-F14)/F14</f>
        <v>0</v>
      </c>
    </row>
    <row r="15" spans="2:14" x14ac:dyDescent="0.2">
      <c r="B15" s="54"/>
      <c r="C15" s="7" t="s">
        <v>18</v>
      </c>
      <c r="D15" s="8">
        <v>221678</v>
      </c>
      <c r="E15">
        <v>414580</v>
      </c>
      <c r="F15" s="23">
        <v>4372</v>
      </c>
      <c r="G15" s="8">
        <v>153392</v>
      </c>
      <c r="H15">
        <v>462388</v>
      </c>
      <c r="I15" s="7" t="s">
        <v>55</v>
      </c>
      <c r="J15" s="13">
        <f>(D14-D15)/D14</f>
        <v>3.9386047398458184E-2</v>
      </c>
      <c r="K15" s="13">
        <f>(E14-E15)/E14</f>
        <v>3.4553744836033885E-2</v>
      </c>
      <c r="L15" s="13">
        <f>(G14-G15)/G14</f>
        <v>8.2499288799234485E-3</v>
      </c>
      <c r="M15" s="14">
        <f>(H14-H15)/H14</f>
        <v>-6.5632938810073734E-3</v>
      </c>
      <c r="N15" s="13">
        <f>(F14-F15)/F14</f>
        <v>0.35639629029883702</v>
      </c>
    </row>
    <row r="16" spans="2:14" x14ac:dyDescent="0.2">
      <c r="B16" s="54"/>
      <c r="C16" s="7" t="s">
        <v>19</v>
      </c>
      <c r="D16" s="8">
        <v>229009</v>
      </c>
      <c r="E16">
        <v>320202</v>
      </c>
      <c r="F16" s="23">
        <v>2871</v>
      </c>
      <c r="G16" s="8">
        <v>153194</v>
      </c>
      <c r="H16">
        <v>457463</v>
      </c>
      <c r="I16" s="7" t="s">
        <v>56</v>
      </c>
      <c r="J16" s="13">
        <f>(D14-D16)/D14</f>
        <v>7.6180736413785331E-3</v>
      </c>
      <c r="K16" s="13">
        <f>(E14-E16)/E14</f>
        <v>0.25433493705433868</v>
      </c>
      <c r="L16" s="13">
        <f>(G14-G16)/G14</f>
        <v>9.5300902578426046E-3</v>
      </c>
      <c r="M16" s="14">
        <f>(H14-H16)/H14</f>
        <v>4.1578412314176062E-3</v>
      </c>
      <c r="N16" s="13">
        <f>(F14-F16)/F14</f>
        <v>0.57735904607684385</v>
      </c>
    </row>
    <row r="17" spans="2:14" x14ac:dyDescent="0.2">
      <c r="B17" s="53"/>
      <c r="C17" s="15" t="s">
        <v>131</v>
      </c>
      <c r="D17" s="10">
        <v>233661</v>
      </c>
      <c r="E17" s="27"/>
      <c r="F17" s="28">
        <v>26778</v>
      </c>
      <c r="G17" s="10">
        <v>154090</v>
      </c>
      <c r="H17" s="27">
        <v>455789</v>
      </c>
      <c r="I17" s="5" t="s">
        <v>57</v>
      </c>
      <c r="J17" s="20">
        <f>(D14-D17)/D14</f>
        <v>-1.2540787894282979E-2</v>
      </c>
      <c r="K17" s="20">
        <f>(E14-E17)/E14</f>
        <v>1</v>
      </c>
      <c r="L17" s="20">
        <f>(G14-G17)/G14</f>
        <v>3.7370367496831923E-3</v>
      </c>
      <c r="M17" s="21">
        <f>(H14-H17)/H14</f>
        <v>7.8019387295291624E-3</v>
      </c>
      <c r="N17" s="20">
        <f>(F14-F17)/F14</f>
        <v>-2.9419991167378186</v>
      </c>
    </row>
  </sheetData>
  <mergeCells count="17"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  <mergeCell ref="L2:L3"/>
  </mergeCells>
  <conditionalFormatting sqref="J6:N17">
    <cfRule type="cellIs" dxfId="7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E482-0288-E347-8758-DA045B9FFD0B}">
  <dimension ref="B1:N17"/>
  <sheetViews>
    <sheetView topLeftCell="C1" workbookViewId="0">
      <selection activeCell="C17" sqref="C17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50" t="s">
        <v>0</v>
      </c>
      <c r="E2" s="41"/>
      <c r="F2" s="43"/>
      <c r="G2" s="41" t="s">
        <v>1</v>
      </c>
      <c r="H2" s="41"/>
      <c r="I2" s="46" t="s">
        <v>2</v>
      </c>
      <c r="J2" s="52" t="s">
        <v>3</v>
      </c>
      <c r="K2" s="52" t="s">
        <v>4</v>
      </c>
      <c r="L2" s="52" t="s">
        <v>5</v>
      </c>
      <c r="M2" s="37" t="s">
        <v>6</v>
      </c>
      <c r="N2" s="4" t="s">
        <v>7</v>
      </c>
    </row>
    <row r="3" spans="2:14" x14ac:dyDescent="0.2">
      <c r="B3" s="3"/>
      <c r="D3" s="51"/>
      <c r="E3" s="42"/>
      <c r="F3" s="44"/>
      <c r="G3" s="42"/>
      <c r="H3" s="42"/>
      <c r="I3" s="47"/>
      <c r="J3" s="53"/>
      <c r="K3" s="53"/>
      <c r="L3" s="53"/>
      <c r="M3" s="38"/>
      <c r="N3" s="5" t="s">
        <v>8</v>
      </c>
    </row>
    <row r="4" spans="2:14" x14ac:dyDescent="0.2">
      <c r="B4" s="6" t="s">
        <v>9</v>
      </c>
      <c r="C4" s="4" t="s">
        <v>10</v>
      </c>
      <c r="D4" s="55" t="s">
        <v>11</v>
      </c>
      <c r="E4" s="45" t="s">
        <v>12</v>
      </c>
      <c r="F4" s="56" t="s">
        <v>13</v>
      </c>
      <c r="G4" s="45" t="s">
        <v>14</v>
      </c>
      <c r="H4" s="45" t="s">
        <v>12</v>
      </c>
      <c r="I4" s="46" t="s">
        <v>15</v>
      </c>
      <c r="J4" s="48"/>
      <c r="K4" s="7"/>
      <c r="L4" s="7"/>
      <c r="M4" s="8"/>
      <c r="N4" s="7"/>
    </row>
    <row r="5" spans="2:14" x14ac:dyDescent="0.2">
      <c r="B5" s="9"/>
      <c r="C5" s="7"/>
      <c r="D5" s="40"/>
      <c r="E5" s="42"/>
      <c r="F5" s="44"/>
      <c r="G5" s="42"/>
      <c r="H5" s="42"/>
      <c r="I5" s="47"/>
      <c r="J5" s="49"/>
      <c r="K5" s="5"/>
      <c r="L5" s="5"/>
      <c r="M5" s="10"/>
      <c r="N5" s="7"/>
    </row>
    <row r="6" spans="2:14" x14ac:dyDescent="0.2">
      <c r="B6" s="52" t="s">
        <v>16</v>
      </c>
      <c r="C6" s="4" t="s">
        <v>17</v>
      </c>
      <c r="D6" s="8">
        <v>88044</v>
      </c>
      <c r="E6">
        <v>138105</v>
      </c>
      <c r="F6" s="23">
        <v>2802</v>
      </c>
      <c r="G6">
        <v>63245</v>
      </c>
      <c r="H6">
        <v>160280</v>
      </c>
      <c r="I6" s="7" t="s">
        <v>58</v>
      </c>
      <c r="J6" s="11">
        <f>(D6-D6)/D6</f>
        <v>0</v>
      </c>
      <c r="K6" s="11">
        <f>(E6-E6)/E6</f>
        <v>0</v>
      </c>
      <c r="L6" s="11">
        <f>(G6-G6)/G6</f>
        <v>0</v>
      </c>
      <c r="M6" s="12">
        <f>(H6-H6)/H6</f>
        <v>0</v>
      </c>
      <c r="N6" s="11">
        <f>(F6-F6)/F6</f>
        <v>0</v>
      </c>
    </row>
    <row r="7" spans="2:14" x14ac:dyDescent="0.2">
      <c r="B7" s="54"/>
      <c r="C7" s="7" t="s">
        <v>18</v>
      </c>
      <c r="D7" s="8">
        <v>85526</v>
      </c>
      <c r="E7">
        <v>132406</v>
      </c>
      <c r="F7" s="23">
        <v>1504</v>
      </c>
      <c r="G7">
        <v>62554</v>
      </c>
      <c r="H7">
        <v>160385</v>
      </c>
      <c r="I7" s="7" t="s">
        <v>59</v>
      </c>
      <c r="J7" s="13">
        <f>(D6-D7)/D6</f>
        <v>2.8599336695288718E-2</v>
      </c>
      <c r="K7" s="13">
        <f>(E6-E7)/E6</f>
        <v>4.1265703631295031E-2</v>
      </c>
      <c r="L7" s="13">
        <f>(G6-G7)/G6</f>
        <v>1.0925764882599415E-2</v>
      </c>
      <c r="M7" s="14">
        <f>(H6-H7)/H6</f>
        <v>-6.5510356875467929E-4</v>
      </c>
      <c r="N7" s="13">
        <f>(F6-F7)/F6</f>
        <v>0.46324054246966451</v>
      </c>
    </row>
    <row r="8" spans="2:14" x14ac:dyDescent="0.2">
      <c r="B8" s="54"/>
      <c r="C8" s="7" t="s">
        <v>19</v>
      </c>
      <c r="D8" s="8">
        <v>87423</v>
      </c>
      <c r="E8">
        <v>112698</v>
      </c>
      <c r="F8" s="23">
        <v>2070</v>
      </c>
      <c r="G8">
        <v>62605</v>
      </c>
      <c r="H8">
        <v>160135</v>
      </c>
      <c r="I8" s="7" t="s">
        <v>60</v>
      </c>
      <c r="J8" s="13">
        <f>(D6-D8)/D6</f>
        <v>7.0532915360501571E-3</v>
      </c>
      <c r="K8" s="13">
        <f>(E6-E8)/E6</f>
        <v>0.18396871945259041</v>
      </c>
      <c r="L8" s="13">
        <f>(G6-G8)/G6</f>
        <v>1.0119377025851846E-2</v>
      </c>
      <c r="M8" s="14">
        <f>(H6-H8)/H6</f>
        <v>9.0466683304217619E-4</v>
      </c>
      <c r="N8" s="13">
        <f>(F6-F8)/F6</f>
        <v>0.26124197002141325</v>
      </c>
    </row>
    <row r="9" spans="2:14" x14ac:dyDescent="0.2">
      <c r="B9" s="53"/>
      <c r="C9" s="15" t="s">
        <v>131</v>
      </c>
      <c r="D9" s="8">
        <v>82791</v>
      </c>
      <c r="E9">
        <v>132406</v>
      </c>
      <c r="F9" s="23">
        <v>1321846</v>
      </c>
      <c r="G9">
        <v>62636</v>
      </c>
      <c r="H9">
        <v>159778</v>
      </c>
      <c r="I9" s="7" t="s">
        <v>61</v>
      </c>
      <c r="J9" s="20">
        <f>(D6-D9)/D6</f>
        <v>5.9663350143110264E-2</v>
      </c>
      <c r="K9" s="20">
        <f>(E6-E9)/E6</f>
        <v>4.1265703631295031E-2</v>
      </c>
      <c r="L9" s="20">
        <f>(G6-G9)/G6</f>
        <v>9.6292197011621471E-3</v>
      </c>
      <c r="M9" s="21">
        <f>(H6-H9)/H6</f>
        <v>3.1320189668080857E-3</v>
      </c>
      <c r="N9" s="20">
        <f>(F6-F9)/F6</f>
        <v>-470.75089221984297</v>
      </c>
    </row>
    <row r="10" spans="2:14" x14ac:dyDescent="0.2">
      <c r="B10" s="52" t="s">
        <v>20</v>
      </c>
      <c r="C10" s="4" t="s">
        <v>17</v>
      </c>
      <c r="D10" s="24">
        <v>124627</v>
      </c>
      <c r="E10" s="25">
        <v>173628</v>
      </c>
      <c r="F10" s="26">
        <v>3926</v>
      </c>
      <c r="G10" s="25">
        <v>93235</v>
      </c>
      <c r="H10" s="25">
        <v>205156</v>
      </c>
      <c r="I10" s="4" t="s">
        <v>62</v>
      </c>
      <c r="J10" s="11">
        <f>(D10-D10)/D10</f>
        <v>0</v>
      </c>
      <c r="K10" s="11">
        <f>(E10-E10)/E10</f>
        <v>0</v>
      </c>
      <c r="L10" s="11">
        <f>(G10-G10)/G10</f>
        <v>0</v>
      </c>
      <c r="M10" s="12">
        <f>(H10-H10)/H10</f>
        <v>0</v>
      </c>
      <c r="N10" s="11">
        <f>(F10-F10)/F10</f>
        <v>0</v>
      </c>
    </row>
    <row r="11" spans="2:14" x14ac:dyDescent="0.2">
      <c r="B11" s="54"/>
      <c r="C11" s="7" t="s">
        <v>18</v>
      </c>
      <c r="D11" s="8">
        <v>121638</v>
      </c>
      <c r="E11">
        <v>169038</v>
      </c>
      <c r="F11" s="23">
        <v>2189</v>
      </c>
      <c r="G11">
        <v>91679</v>
      </c>
      <c r="H11">
        <v>201444</v>
      </c>
      <c r="I11" s="7" t="s">
        <v>63</v>
      </c>
      <c r="J11" s="13">
        <f>(D10-D11)/D10</f>
        <v>2.3983566963820039E-2</v>
      </c>
      <c r="K11" s="13">
        <f>(E10-E11)/E10</f>
        <v>2.6435828322620775E-2</v>
      </c>
      <c r="L11" s="13">
        <f>(G10-G11)/G10</f>
        <v>1.6689011637260685E-2</v>
      </c>
      <c r="M11" s="14">
        <f>(H10-H11)/H10</f>
        <v>1.8093548324202069E-2</v>
      </c>
      <c r="N11" s="13">
        <f>(F10-F11)/F10</f>
        <v>0.44243504839531328</v>
      </c>
    </row>
    <row r="12" spans="2:14" x14ac:dyDescent="0.2">
      <c r="B12" s="54"/>
      <c r="C12" s="7" t="s">
        <v>19</v>
      </c>
      <c r="D12" s="8">
        <v>123539</v>
      </c>
      <c r="E12">
        <v>134130</v>
      </c>
      <c r="F12" s="23">
        <v>1654</v>
      </c>
      <c r="G12">
        <v>92419</v>
      </c>
      <c r="H12">
        <v>204659</v>
      </c>
      <c r="I12" s="7" t="s">
        <v>64</v>
      </c>
      <c r="J12" s="13">
        <f>(D10-D12)/D10</f>
        <v>8.7300504706042826E-3</v>
      </c>
      <c r="K12" s="13">
        <f>(E10-E12)/E10</f>
        <v>0.22748635012785956</v>
      </c>
      <c r="L12" s="13">
        <f>(G10-G12)/G10</f>
        <v>8.7520780822652432E-3</v>
      </c>
      <c r="M12" s="14">
        <f>(H10-H12)/H10</f>
        <v>2.422546744916064E-3</v>
      </c>
      <c r="N12" s="13">
        <f>(F10-F12)/F10</f>
        <v>0.57870606214977072</v>
      </c>
    </row>
    <row r="13" spans="2:14" x14ac:dyDescent="0.2">
      <c r="B13" s="53"/>
      <c r="C13" s="15" t="s">
        <v>131</v>
      </c>
      <c r="D13" s="10">
        <v>118321</v>
      </c>
      <c r="E13" s="27">
        <v>169038</v>
      </c>
      <c r="F13" s="28">
        <v>6524806</v>
      </c>
      <c r="G13" s="27">
        <v>91773</v>
      </c>
      <c r="H13" s="27">
        <v>202576</v>
      </c>
      <c r="I13" s="5" t="s">
        <v>65</v>
      </c>
      <c r="J13" s="20">
        <f>(D10-D13)/D10</f>
        <v>5.0598987378336957E-2</v>
      </c>
      <c r="K13" s="20">
        <f>(E10-E13)/E10</f>
        <v>2.6435828322620775E-2</v>
      </c>
      <c r="L13" s="20">
        <f>(G10-G13)/G10</f>
        <v>1.5680806564058562E-2</v>
      </c>
      <c r="M13" s="21">
        <f>(H10-H13)/H10</f>
        <v>1.2575795979644758E-2</v>
      </c>
      <c r="N13" s="20">
        <f>(F10-F13)/F10</f>
        <v>-1660.9475292919001</v>
      </c>
    </row>
    <row r="14" spans="2:14" x14ac:dyDescent="0.2">
      <c r="B14" s="52" t="s">
        <v>21</v>
      </c>
      <c r="C14" s="4" t="s">
        <v>17</v>
      </c>
      <c r="D14" s="8">
        <v>230767</v>
      </c>
      <c r="E14">
        <v>429418</v>
      </c>
      <c r="F14" s="23">
        <v>6233</v>
      </c>
      <c r="G14">
        <v>154668</v>
      </c>
      <c r="H14">
        <v>459373</v>
      </c>
      <c r="I14" s="7" t="s">
        <v>66</v>
      </c>
      <c r="J14" s="11">
        <f>(D14-D14)/D14</f>
        <v>0</v>
      </c>
      <c r="K14" s="11">
        <f>(E14-E14)/E14</f>
        <v>0</v>
      </c>
      <c r="L14" s="11">
        <f>(G14-G14)/G14</f>
        <v>0</v>
      </c>
      <c r="M14" s="12">
        <f>(H14-H14)/H14</f>
        <v>0</v>
      </c>
      <c r="N14" s="11">
        <f>(F14-F14)/F14</f>
        <v>0</v>
      </c>
    </row>
    <row r="15" spans="2:14" x14ac:dyDescent="0.2">
      <c r="B15" s="54"/>
      <c r="C15" s="7" t="s">
        <v>18</v>
      </c>
      <c r="D15" s="8">
        <v>221678</v>
      </c>
      <c r="E15">
        <v>414580</v>
      </c>
      <c r="F15" s="23">
        <v>4490</v>
      </c>
      <c r="G15">
        <v>153392</v>
      </c>
      <c r="H15">
        <v>462388</v>
      </c>
      <c r="I15" s="7" t="s">
        <v>67</v>
      </c>
      <c r="J15" s="13">
        <f>(D14-D15)/D14</f>
        <v>3.9386047398458184E-2</v>
      </c>
      <c r="K15" s="13">
        <f>(E14-E15)/E14</f>
        <v>3.4553744836033885E-2</v>
      </c>
      <c r="L15" s="13">
        <f>(G14-G15)/G14</f>
        <v>8.2499288799234485E-3</v>
      </c>
      <c r="M15" s="14">
        <f>(H14-H15)/H14</f>
        <v>-6.5632938810073734E-3</v>
      </c>
      <c r="N15" s="13">
        <f>(F14-F15)/F14</f>
        <v>0.27964062249318145</v>
      </c>
    </row>
    <row r="16" spans="2:14" x14ac:dyDescent="0.2">
      <c r="B16" s="54"/>
      <c r="C16" s="7" t="s">
        <v>19</v>
      </c>
      <c r="D16" s="8">
        <v>229009</v>
      </c>
      <c r="E16">
        <v>320202</v>
      </c>
      <c r="F16" s="23">
        <v>2343</v>
      </c>
      <c r="G16">
        <v>153194</v>
      </c>
      <c r="H16">
        <v>457463</v>
      </c>
      <c r="I16" s="7" t="s">
        <v>68</v>
      </c>
      <c r="J16" s="13">
        <f>(D14-D16)/D14</f>
        <v>7.6180736413785331E-3</v>
      </c>
      <c r="K16" s="13">
        <f>(E14-E16)/E14</f>
        <v>0.25433493705433868</v>
      </c>
      <c r="L16" s="13">
        <f>(G14-G16)/G14</f>
        <v>9.5300902578426046E-3</v>
      </c>
      <c r="M16" s="14">
        <f>(H14-H16)/H14</f>
        <v>4.1578412314176062E-3</v>
      </c>
      <c r="N16" s="13">
        <f>(F14-F16)/F14</f>
        <v>0.62409754532327932</v>
      </c>
    </row>
    <row r="17" spans="2:14" x14ac:dyDescent="0.2">
      <c r="B17" s="53"/>
      <c r="C17" s="15" t="s">
        <v>131</v>
      </c>
      <c r="D17" s="10">
        <v>213804</v>
      </c>
      <c r="E17" s="27">
        <v>414580</v>
      </c>
      <c r="F17" s="28">
        <v>1881197</v>
      </c>
      <c r="G17" s="27">
        <v>153217</v>
      </c>
      <c r="H17" s="27">
        <v>461726</v>
      </c>
      <c r="I17" s="5" t="s">
        <v>69</v>
      </c>
      <c r="J17" s="20">
        <f>(D14-D17)/D14</f>
        <v>7.3507043901424374E-2</v>
      </c>
      <c r="K17" s="20">
        <f>(E14-E17)/E14</f>
        <v>3.4553744836033885E-2</v>
      </c>
      <c r="L17" s="20">
        <f>(G14-G17)/G14</f>
        <v>9.3813846432358339E-3</v>
      </c>
      <c r="M17" s="21">
        <f>(H14-H17)/H14</f>
        <v>-5.1221991714793863E-3</v>
      </c>
      <c r="N17" s="20">
        <f>(F14-F17)/F14</f>
        <v>-300.81244986362907</v>
      </c>
    </row>
  </sheetData>
  <mergeCells count="17"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  <mergeCell ref="L2:L3"/>
  </mergeCells>
  <conditionalFormatting sqref="J6:N17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69E8-5D9A-9E4C-B422-0FAD342869A1}">
  <dimension ref="B1:N17"/>
  <sheetViews>
    <sheetView zoomScale="141" workbookViewId="0">
      <selection activeCell="C17" sqref="C17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50" t="s">
        <v>0</v>
      </c>
      <c r="E2" s="41"/>
      <c r="F2" s="43"/>
      <c r="G2" s="41" t="s">
        <v>1</v>
      </c>
      <c r="H2" s="41"/>
      <c r="I2" s="46" t="s">
        <v>2</v>
      </c>
      <c r="J2" s="52" t="s">
        <v>3</v>
      </c>
      <c r="K2" s="52" t="s">
        <v>4</v>
      </c>
      <c r="L2" s="52" t="s">
        <v>5</v>
      </c>
      <c r="M2" s="37" t="s">
        <v>6</v>
      </c>
      <c r="N2" s="4" t="s">
        <v>7</v>
      </c>
    </row>
    <row r="3" spans="2:14" x14ac:dyDescent="0.2">
      <c r="B3" s="3"/>
      <c r="D3" s="51"/>
      <c r="E3" s="42"/>
      <c r="F3" s="44"/>
      <c r="G3" s="42"/>
      <c r="H3" s="42"/>
      <c r="I3" s="47"/>
      <c r="J3" s="53"/>
      <c r="K3" s="53"/>
      <c r="L3" s="53"/>
      <c r="M3" s="38"/>
      <c r="N3" s="5" t="s">
        <v>130</v>
      </c>
    </row>
    <row r="4" spans="2:14" x14ac:dyDescent="0.2">
      <c r="B4" s="6" t="s">
        <v>9</v>
      </c>
      <c r="C4" s="4" t="s">
        <v>10</v>
      </c>
      <c r="D4" s="55" t="s">
        <v>11</v>
      </c>
      <c r="E4" s="45" t="s">
        <v>12</v>
      </c>
      <c r="F4" s="56" t="s">
        <v>13</v>
      </c>
      <c r="G4" s="45" t="s">
        <v>14</v>
      </c>
      <c r="H4" s="45" t="s">
        <v>12</v>
      </c>
      <c r="I4" s="46" t="s">
        <v>15</v>
      </c>
      <c r="J4" s="48"/>
      <c r="K4" s="7"/>
      <c r="L4" s="7"/>
      <c r="M4" s="8"/>
      <c r="N4" s="7"/>
    </row>
    <row r="5" spans="2:14" x14ac:dyDescent="0.2">
      <c r="B5" s="9"/>
      <c r="C5" s="7"/>
      <c r="D5" s="40"/>
      <c r="E5" s="42"/>
      <c r="F5" s="44"/>
      <c r="G5" s="42"/>
      <c r="H5" s="42"/>
      <c r="I5" s="47"/>
      <c r="J5" s="49"/>
      <c r="K5" s="5"/>
      <c r="L5" s="5"/>
      <c r="M5" s="10"/>
      <c r="N5" s="7"/>
    </row>
    <row r="6" spans="2:14" x14ac:dyDescent="0.2">
      <c r="B6" s="52" t="s">
        <v>16</v>
      </c>
      <c r="C6" s="4" t="s">
        <v>17</v>
      </c>
      <c r="D6" s="24">
        <v>88044</v>
      </c>
      <c r="E6" s="25">
        <v>138105</v>
      </c>
      <c r="F6" s="26">
        <v>2320</v>
      </c>
      <c r="G6" s="25">
        <v>63245</v>
      </c>
      <c r="H6" s="25">
        <v>160280</v>
      </c>
      <c r="I6" s="4" t="s">
        <v>22</v>
      </c>
      <c r="J6" s="11">
        <f>(D7-D6)/D7</f>
        <v>-2.9441339475714989E-2</v>
      </c>
      <c r="K6" s="11">
        <f>(E7-E6)/E7</f>
        <v>-4.3041856109239759E-2</v>
      </c>
      <c r="L6" s="11">
        <f>(G7-G6)/G7</f>
        <v>-1.1046455862135115E-2</v>
      </c>
      <c r="M6" s="29">
        <f>(H7-H6)/H7</f>
        <v>6.5467468902952273E-4</v>
      </c>
      <c r="N6" s="11">
        <f>(F7-F6)/F7</f>
        <v>-0.74436090225563911</v>
      </c>
    </row>
    <row r="7" spans="2:14" x14ac:dyDescent="0.2">
      <c r="B7" s="54"/>
      <c r="C7" s="7" t="s">
        <v>18</v>
      </c>
      <c r="D7" s="8">
        <v>85526</v>
      </c>
      <c r="E7">
        <v>132406</v>
      </c>
      <c r="F7" s="23">
        <v>1330</v>
      </c>
      <c r="G7">
        <v>62554</v>
      </c>
      <c r="H7">
        <v>160385</v>
      </c>
      <c r="I7" s="7" t="s">
        <v>23</v>
      </c>
      <c r="J7" s="13">
        <f>(D7-D7)/D7</f>
        <v>0</v>
      </c>
      <c r="K7" s="13">
        <f>(E7-E7)/E7</f>
        <v>0</v>
      </c>
      <c r="L7" s="13">
        <f>(G7-G7)/G7</f>
        <v>0</v>
      </c>
      <c r="M7" s="30">
        <f>(H7-H7)/H7</f>
        <v>0</v>
      </c>
      <c r="N7" s="13">
        <f>(F7-F7)/F7</f>
        <v>0</v>
      </c>
    </row>
    <row r="8" spans="2:14" x14ac:dyDescent="0.2">
      <c r="B8" s="54"/>
      <c r="C8" s="7" t="s">
        <v>19</v>
      </c>
      <c r="D8" s="8">
        <v>87423</v>
      </c>
      <c r="E8">
        <v>112698</v>
      </c>
      <c r="F8" s="23">
        <v>1058</v>
      </c>
      <c r="G8">
        <v>62605</v>
      </c>
      <c r="H8">
        <v>160135</v>
      </c>
      <c r="I8" s="7" t="s">
        <v>24</v>
      </c>
      <c r="J8" s="13">
        <f>(D7-D8)/D7</f>
        <v>-2.2180389589130791E-2</v>
      </c>
      <c r="K8" s="13">
        <f>(E7-E8)/E7</f>
        <v>0.14884521849463014</v>
      </c>
      <c r="L8" s="13">
        <f>(G7-G8)/G7</f>
        <v>-8.1529558461489269E-4</v>
      </c>
      <c r="M8" s="30">
        <f>(H7-H8)/H7</f>
        <v>1.5587492595941018E-3</v>
      </c>
      <c r="N8" s="22">
        <f>(F7-F8)/F7</f>
        <v>0.20451127819548873</v>
      </c>
    </row>
    <row r="9" spans="2:14" x14ac:dyDescent="0.2">
      <c r="B9" s="53"/>
      <c r="C9" s="15" t="s">
        <v>131</v>
      </c>
      <c r="D9" s="8">
        <v>85432</v>
      </c>
      <c r="E9">
        <v>139525</v>
      </c>
      <c r="F9" s="23">
        <v>1739</v>
      </c>
      <c r="G9">
        <v>62315</v>
      </c>
      <c r="H9">
        <v>163172</v>
      </c>
      <c r="I9" s="7" t="s">
        <v>25</v>
      </c>
      <c r="J9" s="20">
        <f>(D7-D9)/D7</f>
        <v>1.0990809812220846E-3</v>
      </c>
      <c r="K9" s="20">
        <f>(E7-E9)/E7</f>
        <v>-5.3766445629352143E-2</v>
      </c>
      <c r="L9" s="20">
        <f>(G7-G9)/G7</f>
        <v>3.8206989161364579E-3</v>
      </c>
      <c r="M9" s="31">
        <f>(H7-H9)/H7</f>
        <v>-1.7376936745955047E-2</v>
      </c>
      <c r="N9" s="20">
        <f>(F7-F9)/F7</f>
        <v>-0.30751879699248119</v>
      </c>
    </row>
    <row r="10" spans="2:14" x14ac:dyDescent="0.2">
      <c r="B10" s="52" t="s">
        <v>20</v>
      </c>
      <c r="C10" s="4" t="s">
        <v>17</v>
      </c>
      <c r="D10" s="24">
        <v>124627</v>
      </c>
      <c r="E10" s="25">
        <v>173628</v>
      </c>
      <c r="F10" s="26">
        <v>2997</v>
      </c>
      <c r="G10" s="25">
        <v>93235</v>
      </c>
      <c r="H10" s="25">
        <v>205156</v>
      </c>
      <c r="I10" s="4" t="s">
        <v>26</v>
      </c>
      <c r="J10" s="11">
        <f>(D11-D10)/D11</f>
        <v>-2.4572913069928804E-2</v>
      </c>
      <c r="K10" s="11">
        <f>(E11-E10)/E11</f>
        <v>-2.7153657757427323E-2</v>
      </c>
      <c r="L10" s="11">
        <f>(G11-G10)/G11</f>
        <v>-1.6972261913851591E-2</v>
      </c>
      <c r="M10" s="32">
        <f>(H11-H10)/H11</f>
        <v>-1.8426957367804451E-2</v>
      </c>
      <c r="N10" s="11">
        <f>(F11-F10)/F11</f>
        <v>-0.26937738246505716</v>
      </c>
    </row>
    <row r="11" spans="2:14" x14ac:dyDescent="0.2">
      <c r="B11" s="54"/>
      <c r="C11" s="7" t="s">
        <v>18</v>
      </c>
      <c r="D11" s="8">
        <v>121638</v>
      </c>
      <c r="E11">
        <v>169038</v>
      </c>
      <c r="F11" s="23">
        <v>2361</v>
      </c>
      <c r="G11">
        <v>91679</v>
      </c>
      <c r="H11">
        <v>201444</v>
      </c>
      <c r="I11" s="7" t="s">
        <v>27</v>
      </c>
      <c r="J11" s="13">
        <f>(D11-D11)/D11</f>
        <v>0</v>
      </c>
      <c r="K11" s="13">
        <f>(E11-E11)/E11</f>
        <v>0</v>
      </c>
      <c r="L11" s="13">
        <f>(G11-G11)/G11</f>
        <v>0</v>
      </c>
      <c r="M11" s="33">
        <f>(H11-H11)/H11</f>
        <v>0</v>
      </c>
      <c r="N11" s="13">
        <f>(F11-F11)/F11</f>
        <v>0</v>
      </c>
    </row>
    <row r="12" spans="2:14" x14ac:dyDescent="0.2">
      <c r="B12" s="54"/>
      <c r="C12" s="7" t="s">
        <v>19</v>
      </c>
      <c r="D12" s="8">
        <v>123539</v>
      </c>
      <c r="E12">
        <v>134130</v>
      </c>
      <c r="F12" s="23">
        <v>1661</v>
      </c>
      <c r="G12">
        <v>92419</v>
      </c>
      <c r="H12">
        <v>204659</v>
      </c>
      <c r="I12" s="7" t="s">
        <v>28</v>
      </c>
      <c r="J12" s="13">
        <f>(D11-D12)/D11</f>
        <v>-1.5628339828014273E-2</v>
      </c>
      <c r="K12" s="13">
        <f>(E11-E12)/E11</f>
        <v>0.20650977886629043</v>
      </c>
      <c r="L12" s="13">
        <f>(G11-G12)/G11</f>
        <v>-8.0716412700836612E-3</v>
      </c>
      <c r="M12" s="33">
        <f>(H11-H12)/H11</f>
        <v>-1.5959770457298305E-2</v>
      </c>
      <c r="N12" s="22">
        <f>(F11-F12)/F11</f>
        <v>0.29648454044896233</v>
      </c>
    </row>
    <row r="13" spans="2:14" x14ac:dyDescent="0.2">
      <c r="B13" s="53"/>
      <c r="C13" s="15" t="s">
        <v>131</v>
      </c>
      <c r="D13" s="10">
        <v>121623</v>
      </c>
      <c r="E13" s="27">
        <v>174817</v>
      </c>
      <c r="F13" s="28">
        <v>2474</v>
      </c>
      <c r="G13" s="27">
        <v>91417</v>
      </c>
      <c r="H13" s="27">
        <v>203698</v>
      </c>
      <c r="I13" s="5" t="s">
        <v>29</v>
      </c>
      <c r="J13" s="20">
        <f>(D11-D13)/D11</f>
        <v>1.23316726680807E-4</v>
      </c>
      <c r="K13" s="20">
        <f>(E11-E13)/E11</f>
        <v>-3.4187579124220588E-2</v>
      </c>
      <c r="L13" s="20">
        <f>(G11-G13)/G11</f>
        <v>2.8577973145431342E-3</v>
      </c>
      <c r="M13" s="34">
        <f>(H11-H13)/H11</f>
        <v>-1.1189213875816605E-2</v>
      </c>
      <c r="N13" s="20">
        <f>(F11-F13)/F11</f>
        <v>-4.7861075815332485E-2</v>
      </c>
    </row>
    <row r="14" spans="2:14" x14ac:dyDescent="0.2">
      <c r="B14" s="52" t="s">
        <v>21</v>
      </c>
      <c r="C14" s="4" t="s">
        <v>17</v>
      </c>
      <c r="D14" s="8">
        <v>230767</v>
      </c>
      <c r="E14">
        <v>429418</v>
      </c>
      <c r="F14" s="23">
        <v>6419</v>
      </c>
      <c r="G14">
        <v>154668</v>
      </c>
      <c r="H14">
        <v>459373</v>
      </c>
      <c r="I14" s="7" t="s">
        <v>30</v>
      </c>
      <c r="J14" s="11">
        <f>(D15-D14)/D15</f>
        <v>-4.10009112316062E-2</v>
      </c>
      <c r="K14" s="11">
        <f>(E15-E14)/E15</f>
        <v>-3.5790438516088569E-2</v>
      </c>
      <c r="L14" s="11">
        <f>(G15-G14)/G15</f>
        <v>-8.3185563784291226E-3</v>
      </c>
      <c r="M14" s="32">
        <f>(H15-H14)/H15</f>
        <v>6.5204979367976682E-3</v>
      </c>
      <c r="N14" s="11">
        <f>(F15-F14)/F15</f>
        <v>-0.63291783261256673</v>
      </c>
    </row>
    <row r="15" spans="2:14" x14ac:dyDescent="0.2">
      <c r="B15" s="54"/>
      <c r="C15" s="7" t="s">
        <v>18</v>
      </c>
      <c r="D15" s="8">
        <v>221678</v>
      </c>
      <c r="E15">
        <v>414580</v>
      </c>
      <c r="F15" s="23">
        <v>3931</v>
      </c>
      <c r="G15">
        <v>153392</v>
      </c>
      <c r="H15">
        <v>462388</v>
      </c>
      <c r="I15" s="7" t="s">
        <v>31</v>
      </c>
      <c r="J15" s="13">
        <f>(D15-D15)/D15</f>
        <v>0</v>
      </c>
      <c r="K15" s="13">
        <f>(E15-E15)/E15</f>
        <v>0</v>
      </c>
      <c r="L15" s="13">
        <f>(G15-G15)/G15</f>
        <v>0</v>
      </c>
      <c r="M15" s="33">
        <f>(H15-H15)/H15</f>
        <v>0</v>
      </c>
      <c r="N15" s="13">
        <f>(F15-F15)/F15</f>
        <v>0</v>
      </c>
    </row>
    <row r="16" spans="2:14" x14ac:dyDescent="0.2">
      <c r="B16" s="54"/>
      <c r="C16" s="7" t="s">
        <v>19</v>
      </c>
      <c r="D16" s="8">
        <v>229009</v>
      </c>
      <c r="E16">
        <v>320202</v>
      </c>
      <c r="F16" s="23">
        <v>2819</v>
      </c>
      <c r="G16">
        <v>153194</v>
      </c>
      <c r="H16">
        <v>457463</v>
      </c>
      <c r="I16" s="7" t="s">
        <v>32</v>
      </c>
      <c r="J16" s="13">
        <f>(D15-D16)/D15</f>
        <v>-3.3070489629101668E-2</v>
      </c>
      <c r="K16" s="13">
        <f>(E15-E16)/E15</f>
        <v>0.22764725746538667</v>
      </c>
      <c r="L16" s="13">
        <f>(G15-G16)/G15</f>
        <v>1.2908104725148639E-3</v>
      </c>
      <c r="M16" s="33">
        <f>(H15-H16)/H15</f>
        <v>1.0651227973044283E-2</v>
      </c>
      <c r="N16" s="22">
        <f>(F15-F16)/F15</f>
        <v>0.28287967438310863</v>
      </c>
    </row>
    <row r="17" spans="2:14" x14ac:dyDescent="0.2">
      <c r="B17" s="53"/>
      <c r="C17" s="15" t="s">
        <v>131</v>
      </c>
      <c r="D17" s="10">
        <v>221597</v>
      </c>
      <c r="E17" s="27">
        <v>431134</v>
      </c>
      <c r="F17" s="28">
        <v>5268</v>
      </c>
      <c r="G17" s="27">
        <v>152902</v>
      </c>
      <c r="H17" s="27">
        <v>471215</v>
      </c>
      <c r="I17" s="5" t="s">
        <v>33</v>
      </c>
      <c r="J17" s="20">
        <f>(D15-D17)/D15</f>
        <v>3.653948519925297E-4</v>
      </c>
      <c r="K17" s="20">
        <f>(E15-E17)/E15</f>
        <v>-3.99295672729027E-2</v>
      </c>
      <c r="L17" s="20">
        <f>(G15-G17)/G15</f>
        <v>3.194429957233754E-3</v>
      </c>
      <c r="M17" s="34">
        <f>(H15-H17)/H15</f>
        <v>-1.9090028287931347E-2</v>
      </c>
      <c r="N17" s="20">
        <f>(F15-F17)/F15</f>
        <v>-0.34011701857033833</v>
      </c>
    </row>
  </sheetData>
  <mergeCells count="17"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  <mergeCell ref="L2:L3"/>
  </mergeCells>
  <conditionalFormatting sqref="J6:N17">
    <cfRule type="cellIs" dxfId="5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902F-B618-994E-A58C-948C5F5F54C6}">
  <dimension ref="B1:N17"/>
  <sheetViews>
    <sheetView workbookViewId="0">
      <selection activeCell="C17" sqref="C17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50" t="s">
        <v>0</v>
      </c>
      <c r="E2" s="41"/>
      <c r="F2" s="43"/>
      <c r="G2" s="41" t="s">
        <v>1</v>
      </c>
      <c r="H2" s="41"/>
      <c r="I2" s="46" t="s">
        <v>2</v>
      </c>
      <c r="J2" s="52" t="s">
        <v>3</v>
      </c>
      <c r="K2" s="52" t="s">
        <v>4</v>
      </c>
      <c r="L2" s="52" t="s">
        <v>5</v>
      </c>
      <c r="M2" s="37" t="s">
        <v>6</v>
      </c>
      <c r="N2" s="4" t="s">
        <v>7</v>
      </c>
    </row>
    <row r="3" spans="2:14" x14ac:dyDescent="0.2">
      <c r="B3" s="3"/>
      <c r="D3" s="51"/>
      <c r="E3" s="42"/>
      <c r="F3" s="44"/>
      <c r="G3" s="42"/>
      <c r="H3" s="42"/>
      <c r="I3" s="47"/>
      <c r="J3" s="53"/>
      <c r="K3" s="53"/>
      <c r="L3" s="53"/>
      <c r="M3" s="38"/>
      <c r="N3" s="5" t="s">
        <v>8</v>
      </c>
    </row>
    <row r="4" spans="2:14" x14ac:dyDescent="0.2">
      <c r="B4" s="6" t="s">
        <v>9</v>
      </c>
      <c r="C4" s="4" t="s">
        <v>10</v>
      </c>
      <c r="D4" s="55" t="s">
        <v>11</v>
      </c>
      <c r="E4" s="45" t="s">
        <v>12</v>
      </c>
      <c r="F4" s="56" t="s">
        <v>13</v>
      </c>
      <c r="G4" s="45" t="s">
        <v>14</v>
      </c>
      <c r="H4" s="45" t="s">
        <v>12</v>
      </c>
      <c r="I4" s="46" t="s">
        <v>15</v>
      </c>
      <c r="J4" s="48"/>
      <c r="K4" s="7"/>
      <c r="L4" s="7"/>
      <c r="M4" s="8"/>
      <c r="N4" s="7"/>
    </row>
    <row r="5" spans="2:14" x14ac:dyDescent="0.2">
      <c r="B5" s="9"/>
      <c r="C5" s="7"/>
      <c r="D5" s="40"/>
      <c r="E5" s="42"/>
      <c r="F5" s="44"/>
      <c r="G5" s="42"/>
      <c r="H5" s="42"/>
      <c r="I5" s="47"/>
      <c r="J5" s="49"/>
      <c r="K5" s="5"/>
      <c r="L5" s="5"/>
      <c r="M5" s="10"/>
      <c r="N5" s="7"/>
    </row>
    <row r="6" spans="2:14" x14ac:dyDescent="0.2">
      <c r="B6" s="52" t="s">
        <v>16</v>
      </c>
      <c r="C6" s="4" t="s">
        <v>17</v>
      </c>
      <c r="D6" s="24">
        <v>88044</v>
      </c>
      <c r="E6" s="25">
        <v>138105</v>
      </c>
      <c r="F6" s="26">
        <v>2724</v>
      </c>
      <c r="G6" s="25">
        <v>63245</v>
      </c>
      <c r="H6" s="25">
        <v>160280</v>
      </c>
      <c r="I6" s="4" t="s">
        <v>70</v>
      </c>
      <c r="J6" s="11">
        <f>(D7-D6)/D7</f>
        <v>-2.9441339475714989E-2</v>
      </c>
      <c r="K6" s="11">
        <f>(E7-E6)/E7</f>
        <v>-4.3041856109239759E-2</v>
      </c>
      <c r="L6" s="11">
        <f>(G7-G6)/G7</f>
        <v>-1.1046455862135115E-2</v>
      </c>
      <c r="M6" s="29">
        <f>(H7-H6)/H7</f>
        <v>6.5467468902952273E-4</v>
      </c>
      <c r="N6" s="11">
        <f>(F7-F6)/F7</f>
        <v>-0.56282271944922546</v>
      </c>
    </row>
    <row r="7" spans="2:14" x14ac:dyDescent="0.2">
      <c r="B7" s="54"/>
      <c r="C7" s="7" t="s">
        <v>18</v>
      </c>
      <c r="D7" s="8">
        <v>85526</v>
      </c>
      <c r="E7">
        <v>132406</v>
      </c>
      <c r="F7" s="23">
        <v>1743</v>
      </c>
      <c r="G7">
        <v>62554</v>
      </c>
      <c r="H7">
        <v>160385</v>
      </c>
      <c r="I7" s="7" t="s">
        <v>71</v>
      </c>
      <c r="J7" s="13">
        <f>(D7-D7)/D7</f>
        <v>0</v>
      </c>
      <c r="K7" s="13">
        <f>(E7-E7)/E7</f>
        <v>0</v>
      </c>
      <c r="L7" s="13">
        <f>(G7-G7)/G7</f>
        <v>0</v>
      </c>
      <c r="M7" s="30">
        <f>(H7-H7)/H7</f>
        <v>0</v>
      </c>
      <c r="N7" s="13">
        <f>(F7-F7)/F7</f>
        <v>0</v>
      </c>
    </row>
    <row r="8" spans="2:14" x14ac:dyDescent="0.2">
      <c r="B8" s="54"/>
      <c r="C8" s="7" t="s">
        <v>19</v>
      </c>
      <c r="D8" s="8">
        <v>87423</v>
      </c>
      <c r="E8">
        <v>112698</v>
      </c>
      <c r="F8" s="23">
        <v>1724</v>
      </c>
      <c r="G8">
        <v>62605</v>
      </c>
      <c r="H8">
        <v>160135</v>
      </c>
      <c r="I8" s="7" t="s">
        <v>72</v>
      </c>
      <c r="J8" s="13">
        <f>(D7-D8)/D7</f>
        <v>-2.2180389589130791E-2</v>
      </c>
      <c r="K8" s="13">
        <f>(E7-E8)/E7</f>
        <v>0.14884521849463014</v>
      </c>
      <c r="L8" s="13">
        <f>(G7-G8)/G7</f>
        <v>-8.1529558461489269E-4</v>
      </c>
      <c r="M8" s="30">
        <f>(H7-H8)/H7</f>
        <v>1.5587492595941018E-3</v>
      </c>
      <c r="N8" s="22">
        <f>(F7-F8)/F7</f>
        <v>1.0900745840504877E-2</v>
      </c>
    </row>
    <row r="9" spans="2:14" x14ac:dyDescent="0.2">
      <c r="B9" s="53"/>
      <c r="C9" s="15" t="s">
        <v>131</v>
      </c>
      <c r="D9" s="8">
        <v>85526</v>
      </c>
      <c r="E9">
        <v>132406</v>
      </c>
      <c r="F9" s="23">
        <v>1634</v>
      </c>
      <c r="G9">
        <v>62554</v>
      </c>
      <c r="H9">
        <v>160385</v>
      </c>
      <c r="I9" s="7" t="s">
        <v>73</v>
      </c>
      <c r="J9" s="20">
        <f>(D7-D9)/D7</f>
        <v>0</v>
      </c>
      <c r="K9" s="20">
        <f>(E7-E9)/E7</f>
        <v>0</v>
      </c>
      <c r="L9" s="20">
        <f>(G7-G9)/G7</f>
        <v>0</v>
      </c>
      <c r="M9" s="31">
        <f>(H7-H9)/H7</f>
        <v>0</v>
      </c>
      <c r="N9" s="20">
        <f>(F7-F9)/F7</f>
        <v>6.2535857716580615E-2</v>
      </c>
    </row>
    <row r="10" spans="2:14" x14ac:dyDescent="0.2">
      <c r="B10" s="52" t="s">
        <v>20</v>
      </c>
      <c r="C10" s="4" t="s">
        <v>17</v>
      </c>
      <c r="D10" s="24">
        <v>124627</v>
      </c>
      <c r="E10" s="25">
        <v>173628</v>
      </c>
      <c r="F10" s="26">
        <v>3312</v>
      </c>
      <c r="G10" s="25">
        <v>93235</v>
      </c>
      <c r="H10" s="25">
        <v>205156</v>
      </c>
      <c r="I10" s="4" t="s">
        <v>74</v>
      </c>
      <c r="J10" s="11">
        <f>(D11-D10)/D11</f>
        <v>-2.4572913069928804E-2</v>
      </c>
      <c r="K10" s="11">
        <f>(E11-E10)/E11</f>
        <v>-2.7153657757427323E-2</v>
      </c>
      <c r="L10" s="11">
        <f>(G11-G10)/G11</f>
        <v>-1.6972261913851591E-2</v>
      </c>
      <c r="M10" s="32">
        <f>(H11-H10)/H11</f>
        <v>-1.8426957367804451E-2</v>
      </c>
      <c r="N10" s="11">
        <f>(F11-F10)/F11</f>
        <v>-0.51440329218106995</v>
      </c>
    </row>
    <row r="11" spans="2:14" x14ac:dyDescent="0.2">
      <c r="B11" s="54"/>
      <c r="C11" s="7" t="s">
        <v>18</v>
      </c>
      <c r="D11" s="8">
        <v>121638</v>
      </c>
      <c r="E11">
        <v>169038</v>
      </c>
      <c r="F11" s="23">
        <v>2187</v>
      </c>
      <c r="G11">
        <v>91679</v>
      </c>
      <c r="H11">
        <v>201444</v>
      </c>
      <c r="I11" s="7" t="s">
        <v>75</v>
      </c>
      <c r="J11" s="13">
        <f>(D11-D11)/D11</f>
        <v>0</v>
      </c>
      <c r="K11" s="13">
        <f>(E11-E11)/E11</f>
        <v>0</v>
      </c>
      <c r="L11" s="13">
        <f>(G11-G11)/G11</f>
        <v>0</v>
      </c>
      <c r="M11" s="33">
        <f>(H11-H11)/H11</f>
        <v>0</v>
      </c>
      <c r="N11" s="13">
        <f>(F11-F11)/F11</f>
        <v>0</v>
      </c>
    </row>
    <row r="12" spans="2:14" x14ac:dyDescent="0.2">
      <c r="B12" s="54"/>
      <c r="C12" s="7" t="s">
        <v>19</v>
      </c>
      <c r="D12" s="8">
        <v>123539</v>
      </c>
      <c r="E12">
        <v>134130</v>
      </c>
      <c r="F12" s="23">
        <v>1768</v>
      </c>
      <c r="G12">
        <v>92419</v>
      </c>
      <c r="H12">
        <v>204659</v>
      </c>
      <c r="I12" s="7" t="s">
        <v>76</v>
      </c>
      <c r="J12" s="13">
        <f>(D11-D12)/D11</f>
        <v>-1.5628339828014273E-2</v>
      </c>
      <c r="K12" s="13">
        <f>(E11-E12)/E11</f>
        <v>0.20650977886629043</v>
      </c>
      <c r="L12" s="13">
        <f>(G11-G12)/G11</f>
        <v>-8.0716412700836612E-3</v>
      </c>
      <c r="M12" s="33">
        <f>(H11-H12)/H11</f>
        <v>-1.5959770457298305E-2</v>
      </c>
      <c r="N12" s="22">
        <f>(F11-F12)/F11</f>
        <v>0.19158664837677183</v>
      </c>
    </row>
    <row r="13" spans="2:14" x14ac:dyDescent="0.2">
      <c r="B13" s="53"/>
      <c r="C13" s="15" t="s">
        <v>131</v>
      </c>
      <c r="D13" s="10">
        <v>121638</v>
      </c>
      <c r="E13" s="27">
        <v>169038</v>
      </c>
      <c r="F13" s="28">
        <v>2335</v>
      </c>
      <c r="G13" s="27">
        <v>91679</v>
      </c>
      <c r="H13" s="27">
        <v>201444</v>
      </c>
      <c r="I13" s="5" t="s">
        <v>77</v>
      </c>
      <c r="J13" s="20">
        <f>(D11-D13)/D11</f>
        <v>0</v>
      </c>
      <c r="K13" s="20">
        <f>(E11-E13)/E11</f>
        <v>0</v>
      </c>
      <c r="L13" s="20">
        <f>(G11-G13)/G11</f>
        <v>0</v>
      </c>
      <c r="M13" s="34">
        <f>(H11-H13)/H11</f>
        <v>0</v>
      </c>
      <c r="N13" s="20">
        <f>(F11-F13)/F11</f>
        <v>-6.7672610882487425E-2</v>
      </c>
    </row>
    <row r="14" spans="2:14" x14ac:dyDescent="0.2">
      <c r="B14" s="52" t="s">
        <v>21</v>
      </c>
      <c r="C14" s="4" t="s">
        <v>17</v>
      </c>
      <c r="D14" s="8">
        <v>230767</v>
      </c>
      <c r="E14">
        <v>429418</v>
      </c>
      <c r="F14" s="23">
        <v>5770</v>
      </c>
      <c r="G14">
        <v>154668</v>
      </c>
      <c r="H14">
        <v>459373</v>
      </c>
      <c r="I14" s="7" t="s">
        <v>78</v>
      </c>
      <c r="J14" s="11">
        <f>(D15-D14)/D15</f>
        <v>-4.10009112316062E-2</v>
      </c>
      <c r="K14" s="11">
        <f>(E15-E14)/E15</f>
        <v>-3.5790438516088569E-2</v>
      </c>
      <c r="L14" s="11">
        <f>(G15-G14)/G15</f>
        <v>-8.3185563784291226E-3</v>
      </c>
      <c r="M14" s="32">
        <f>(H15-H14)/H15</f>
        <v>6.5204979367976682E-3</v>
      </c>
      <c r="N14" s="11">
        <f>(F15-F14)/F15</f>
        <v>-0.91758059155865734</v>
      </c>
    </row>
    <row r="15" spans="2:14" x14ac:dyDescent="0.2">
      <c r="B15" s="54"/>
      <c r="C15" s="7" t="s">
        <v>18</v>
      </c>
      <c r="D15" s="8">
        <v>221678</v>
      </c>
      <c r="E15">
        <v>414580</v>
      </c>
      <c r="F15" s="23">
        <v>3009</v>
      </c>
      <c r="G15">
        <v>153392</v>
      </c>
      <c r="H15">
        <v>462388</v>
      </c>
      <c r="I15" s="7" t="s">
        <v>79</v>
      </c>
      <c r="J15" s="13">
        <f>(D15-D15)/D15</f>
        <v>0</v>
      </c>
      <c r="K15" s="13">
        <f>(E15-E15)/E15</f>
        <v>0</v>
      </c>
      <c r="L15" s="13">
        <f>(G15-G15)/G15</f>
        <v>0</v>
      </c>
      <c r="M15" s="33">
        <f>(H15-H15)/H15</f>
        <v>0</v>
      </c>
      <c r="N15" s="13">
        <f>(F15-F15)/F15</f>
        <v>0</v>
      </c>
    </row>
    <row r="16" spans="2:14" x14ac:dyDescent="0.2">
      <c r="B16" s="54"/>
      <c r="C16" s="7" t="s">
        <v>19</v>
      </c>
      <c r="D16" s="8">
        <v>229009</v>
      </c>
      <c r="E16">
        <v>320202</v>
      </c>
      <c r="F16" s="23">
        <v>3690</v>
      </c>
      <c r="G16">
        <v>153194</v>
      </c>
      <c r="H16">
        <v>457463</v>
      </c>
      <c r="I16" s="7" t="s">
        <v>80</v>
      </c>
      <c r="J16" s="13">
        <f>(D15-D16)/D15</f>
        <v>-3.3070489629101668E-2</v>
      </c>
      <c r="K16" s="13">
        <f>(E15-E16)/E15</f>
        <v>0.22764725746538667</v>
      </c>
      <c r="L16" s="13">
        <f>(G15-G16)/G15</f>
        <v>1.2908104725148639E-3</v>
      </c>
      <c r="M16" s="33">
        <f>(H15-H16)/H15</f>
        <v>1.0651227973044283E-2</v>
      </c>
      <c r="N16" s="22">
        <f>(F15-F16)/F15</f>
        <v>-0.226321036889332</v>
      </c>
    </row>
    <row r="17" spans="2:14" x14ac:dyDescent="0.2">
      <c r="B17" s="53"/>
      <c r="C17" s="15" t="s">
        <v>131</v>
      </c>
      <c r="D17" s="10">
        <v>221678</v>
      </c>
      <c r="E17" s="27">
        <v>414580</v>
      </c>
      <c r="F17" s="28">
        <v>4929</v>
      </c>
      <c r="G17" s="27">
        <v>153392</v>
      </c>
      <c r="H17" s="27">
        <v>462388</v>
      </c>
      <c r="I17" s="5" t="s">
        <v>81</v>
      </c>
      <c r="J17" s="20">
        <f>(D15-D17)/D15</f>
        <v>0</v>
      </c>
      <c r="K17" s="20">
        <f>(E15-E17)/E15</f>
        <v>0</v>
      </c>
      <c r="L17" s="20">
        <f>(G15-G17)/G15</f>
        <v>0</v>
      </c>
      <c r="M17" s="34">
        <f>(H15-H17)/H15</f>
        <v>0</v>
      </c>
      <c r="N17" s="20">
        <f>(F15-F17)/F15</f>
        <v>-0.63808574277168495</v>
      </c>
    </row>
  </sheetData>
  <mergeCells count="17"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  <mergeCell ref="L2:L3"/>
  </mergeCells>
  <conditionalFormatting sqref="J6:N17">
    <cfRule type="cellIs" dxfId="4" priority="1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38E7-A59D-8A45-B88E-6D12EE68AEE1}">
  <dimension ref="B1:N17"/>
  <sheetViews>
    <sheetView topLeftCell="C1" zoomScale="139" workbookViewId="0">
      <selection activeCell="D23" sqref="D23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50" t="s">
        <v>0</v>
      </c>
      <c r="E2" s="41"/>
      <c r="F2" s="43"/>
      <c r="G2" s="41" t="s">
        <v>1</v>
      </c>
      <c r="H2" s="41"/>
      <c r="I2" s="46" t="s">
        <v>2</v>
      </c>
      <c r="J2" s="52" t="s">
        <v>3</v>
      </c>
      <c r="K2" s="52" t="s">
        <v>4</v>
      </c>
      <c r="L2" s="52" t="s">
        <v>5</v>
      </c>
      <c r="M2" s="37" t="s">
        <v>6</v>
      </c>
      <c r="N2" s="4" t="s">
        <v>7</v>
      </c>
    </row>
    <row r="3" spans="2:14" x14ac:dyDescent="0.2">
      <c r="B3" s="3"/>
      <c r="D3" s="51"/>
      <c r="E3" s="42"/>
      <c r="F3" s="44"/>
      <c r="G3" s="42"/>
      <c r="H3" s="42"/>
      <c r="I3" s="47"/>
      <c r="J3" s="53"/>
      <c r="K3" s="53"/>
      <c r="L3" s="53"/>
      <c r="M3" s="38"/>
      <c r="N3" s="5" t="s">
        <v>8</v>
      </c>
    </row>
    <row r="4" spans="2:14" x14ac:dyDescent="0.2">
      <c r="B4" s="6" t="s">
        <v>9</v>
      </c>
      <c r="C4" s="4" t="s">
        <v>10</v>
      </c>
      <c r="D4" s="55" t="s">
        <v>11</v>
      </c>
      <c r="E4" s="45" t="s">
        <v>12</v>
      </c>
      <c r="F4" s="56" t="s">
        <v>13</v>
      </c>
      <c r="G4" s="45" t="s">
        <v>14</v>
      </c>
      <c r="H4" s="45" t="s">
        <v>12</v>
      </c>
      <c r="I4" s="46" t="s">
        <v>15</v>
      </c>
      <c r="J4" s="48"/>
      <c r="K4" s="7"/>
      <c r="L4" s="7"/>
      <c r="M4" s="8"/>
      <c r="N4" s="7"/>
    </row>
    <row r="5" spans="2:14" x14ac:dyDescent="0.2">
      <c r="B5" s="9"/>
      <c r="C5" s="7"/>
      <c r="D5" s="40"/>
      <c r="E5" s="42"/>
      <c r="F5" s="44"/>
      <c r="G5" s="42"/>
      <c r="H5" s="42"/>
      <c r="I5" s="47"/>
      <c r="J5" s="49"/>
      <c r="K5" s="5"/>
      <c r="L5" s="5"/>
      <c r="M5" s="10"/>
      <c r="N5" s="7"/>
    </row>
    <row r="6" spans="2:14" x14ac:dyDescent="0.2">
      <c r="B6" s="52" t="s">
        <v>16</v>
      </c>
      <c r="C6" s="4" t="s">
        <v>17</v>
      </c>
      <c r="D6" s="8">
        <v>88044</v>
      </c>
      <c r="E6">
        <v>138105</v>
      </c>
      <c r="F6" s="23">
        <v>2659</v>
      </c>
      <c r="G6">
        <v>63245</v>
      </c>
      <c r="H6">
        <v>160280</v>
      </c>
      <c r="I6" s="7" t="s">
        <v>82</v>
      </c>
      <c r="J6" s="11">
        <f>(D7-D6)/D7</f>
        <v>-2.9441339475714989E-2</v>
      </c>
      <c r="K6" s="11">
        <f>(E7-E6)/E7</f>
        <v>-4.3041856109239759E-2</v>
      </c>
      <c r="L6" s="11">
        <f>(G7-G6)/G7</f>
        <v>-1.1046455862135115E-2</v>
      </c>
      <c r="M6" s="29">
        <f>(H7-H6)/H7</f>
        <v>6.5467468902952273E-4</v>
      </c>
      <c r="N6" s="11">
        <f>(F7-F6)/F7</f>
        <v>-0.79662162162162165</v>
      </c>
    </row>
    <row r="7" spans="2:14" x14ac:dyDescent="0.2">
      <c r="B7" s="54"/>
      <c r="C7" s="7" t="s">
        <v>18</v>
      </c>
      <c r="D7" s="8">
        <v>85526</v>
      </c>
      <c r="E7">
        <v>132406</v>
      </c>
      <c r="F7" s="23">
        <v>1480</v>
      </c>
      <c r="G7">
        <v>62554</v>
      </c>
      <c r="H7">
        <v>160385</v>
      </c>
      <c r="I7" s="7" t="s">
        <v>83</v>
      </c>
      <c r="J7" s="13">
        <f>(D7-D7)/D7</f>
        <v>0</v>
      </c>
      <c r="K7" s="13">
        <f>(E7-E7)/E7</f>
        <v>0</v>
      </c>
      <c r="L7" s="13">
        <f>(G7-G7)/G7</f>
        <v>0</v>
      </c>
      <c r="M7" s="30">
        <f>(H7-H7)/H7</f>
        <v>0</v>
      </c>
      <c r="N7" s="13">
        <f>(F7-F7)/F7</f>
        <v>0</v>
      </c>
    </row>
    <row r="8" spans="2:14" x14ac:dyDescent="0.2">
      <c r="B8" s="54"/>
      <c r="C8" s="7" t="s">
        <v>19</v>
      </c>
      <c r="D8" s="8">
        <v>87423</v>
      </c>
      <c r="E8">
        <v>112698</v>
      </c>
      <c r="F8" s="23">
        <v>1930</v>
      </c>
      <c r="G8">
        <v>62605</v>
      </c>
      <c r="H8">
        <v>160135</v>
      </c>
      <c r="I8" s="7" t="s">
        <v>84</v>
      </c>
      <c r="J8" s="13">
        <f>(D7-D8)/D7</f>
        <v>-2.2180389589130791E-2</v>
      </c>
      <c r="K8" s="13">
        <f>(E7-E8)/E7</f>
        <v>0.14884521849463014</v>
      </c>
      <c r="L8" s="13">
        <f>(G7-G8)/G7</f>
        <v>-8.1529558461489269E-4</v>
      </c>
      <c r="M8" s="30">
        <f>(H7-H8)/H7</f>
        <v>1.5587492595941018E-3</v>
      </c>
      <c r="N8" s="22">
        <f>(F7-F8)/F7</f>
        <v>-0.30405405405405406</v>
      </c>
    </row>
    <row r="9" spans="2:14" x14ac:dyDescent="0.2">
      <c r="B9" s="53"/>
      <c r="C9" s="15" t="s">
        <v>131</v>
      </c>
      <c r="D9" s="8">
        <v>85526</v>
      </c>
      <c r="E9">
        <v>132406</v>
      </c>
      <c r="F9" s="23">
        <v>1662</v>
      </c>
      <c r="G9">
        <v>62554</v>
      </c>
      <c r="H9">
        <v>160385</v>
      </c>
      <c r="I9" s="7" t="s">
        <v>85</v>
      </c>
      <c r="J9" s="20">
        <f>(D7-D9)/D7</f>
        <v>0</v>
      </c>
      <c r="K9" s="20">
        <f>(E7-E9)/E7</f>
        <v>0</v>
      </c>
      <c r="L9" s="20">
        <f>(G7-G9)/G7</f>
        <v>0</v>
      </c>
      <c r="M9" s="31">
        <f>(H7-H9)/H7</f>
        <v>0</v>
      </c>
      <c r="N9" s="20">
        <f>(F7-F9)/F7</f>
        <v>-0.12297297297297298</v>
      </c>
    </row>
    <row r="10" spans="2:14" x14ac:dyDescent="0.2">
      <c r="B10" s="52" t="s">
        <v>20</v>
      </c>
      <c r="C10" s="4" t="s">
        <v>17</v>
      </c>
      <c r="D10" s="24">
        <v>124627</v>
      </c>
      <c r="E10" s="25">
        <v>173628</v>
      </c>
      <c r="F10" s="26">
        <v>4017</v>
      </c>
      <c r="G10" s="25">
        <v>93235</v>
      </c>
      <c r="H10" s="25">
        <v>205156</v>
      </c>
      <c r="I10" s="4" t="s">
        <v>86</v>
      </c>
      <c r="J10" s="11">
        <f>(D11-D10)/D11</f>
        <v>-2.4572913069928804E-2</v>
      </c>
      <c r="K10" s="11">
        <f>(E11-E10)/E11</f>
        <v>-2.7153657757427323E-2</v>
      </c>
      <c r="L10" s="11">
        <f>(G11-G10)/G11</f>
        <v>-1.6972261913851591E-2</v>
      </c>
      <c r="M10" s="32">
        <f>(H11-H10)/H11</f>
        <v>-1.8426957367804451E-2</v>
      </c>
      <c r="N10" s="11">
        <f>(F11-F10)/F11</f>
        <v>-0.90469416785206258</v>
      </c>
    </row>
    <row r="11" spans="2:14" x14ac:dyDescent="0.2">
      <c r="B11" s="54"/>
      <c r="C11" s="7" t="s">
        <v>18</v>
      </c>
      <c r="D11" s="8">
        <v>121638</v>
      </c>
      <c r="E11">
        <v>169038</v>
      </c>
      <c r="F11" s="23">
        <v>2109</v>
      </c>
      <c r="G11">
        <v>91679</v>
      </c>
      <c r="H11">
        <v>201444</v>
      </c>
      <c r="I11" s="7" t="s">
        <v>87</v>
      </c>
      <c r="J11" s="13">
        <f>(D11-D11)/D11</f>
        <v>0</v>
      </c>
      <c r="K11" s="13">
        <f>(E11-E11)/E11</f>
        <v>0</v>
      </c>
      <c r="L11" s="13">
        <f>(G11-G11)/G11</f>
        <v>0</v>
      </c>
      <c r="M11" s="33">
        <f>(H11-H11)/H11</f>
        <v>0</v>
      </c>
      <c r="N11" s="13">
        <f>(F11-F11)/F11</f>
        <v>0</v>
      </c>
    </row>
    <row r="12" spans="2:14" x14ac:dyDescent="0.2">
      <c r="B12" s="54"/>
      <c r="C12" s="7" t="s">
        <v>19</v>
      </c>
      <c r="D12" s="8">
        <v>123539</v>
      </c>
      <c r="E12">
        <v>134130</v>
      </c>
      <c r="F12" s="23">
        <v>1989</v>
      </c>
      <c r="G12">
        <v>92419</v>
      </c>
      <c r="H12">
        <v>204659</v>
      </c>
      <c r="I12" s="7" t="s">
        <v>88</v>
      </c>
      <c r="J12" s="13">
        <f>(D11-D12)/D11</f>
        <v>-1.5628339828014273E-2</v>
      </c>
      <c r="K12" s="13">
        <f>(E11-E12)/E11</f>
        <v>0.20650977886629043</v>
      </c>
      <c r="L12" s="13">
        <f>(G11-G12)/G11</f>
        <v>-8.0716412700836612E-3</v>
      </c>
      <c r="M12" s="33">
        <f>(H11-H12)/H11</f>
        <v>-1.5959770457298305E-2</v>
      </c>
      <c r="N12" s="22">
        <f>(F11-F12)/F11</f>
        <v>5.6899004267425321E-2</v>
      </c>
    </row>
    <row r="13" spans="2:14" x14ac:dyDescent="0.2">
      <c r="B13" s="53"/>
      <c r="C13" s="15" t="s">
        <v>131</v>
      </c>
      <c r="D13" s="10">
        <v>121638</v>
      </c>
      <c r="E13" s="27">
        <v>169038</v>
      </c>
      <c r="F13" s="28">
        <v>2191</v>
      </c>
      <c r="G13" s="27">
        <v>91679</v>
      </c>
      <c r="H13" s="27">
        <v>201444</v>
      </c>
      <c r="I13" s="5" t="s">
        <v>89</v>
      </c>
      <c r="J13" s="20">
        <f>(D11-D13)/D11</f>
        <v>0</v>
      </c>
      <c r="K13" s="20">
        <f>(E11-E13)/E11</f>
        <v>0</v>
      </c>
      <c r="L13" s="20">
        <f>(G11-G13)/G11</f>
        <v>0</v>
      </c>
      <c r="M13" s="34">
        <f>(H11-H13)/H11</f>
        <v>0</v>
      </c>
      <c r="N13" s="20">
        <f>(F11-F13)/F11</f>
        <v>-3.88809862494073E-2</v>
      </c>
    </row>
    <row r="14" spans="2:14" x14ac:dyDescent="0.2">
      <c r="B14" s="52" t="s">
        <v>21</v>
      </c>
      <c r="C14" s="4" t="s">
        <v>17</v>
      </c>
      <c r="D14" s="8">
        <v>230767</v>
      </c>
      <c r="E14">
        <v>429418</v>
      </c>
      <c r="F14" s="23">
        <v>6662</v>
      </c>
      <c r="G14">
        <v>154668</v>
      </c>
      <c r="H14">
        <v>459373</v>
      </c>
      <c r="I14" s="7" t="s">
        <v>90</v>
      </c>
      <c r="J14" s="11">
        <f>(D15-D14)/D15</f>
        <v>-4.10009112316062E-2</v>
      </c>
      <c r="K14" s="11">
        <f>(E15-E14)/E15</f>
        <v>-3.5790438516088569E-2</v>
      </c>
      <c r="L14" s="11">
        <f>(G15-G14)/G15</f>
        <v>-8.3185563784291226E-3</v>
      </c>
      <c r="M14" s="32">
        <f>(H15-H14)/H15</f>
        <v>6.5204979367976682E-3</v>
      </c>
      <c r="N14" s="11">
        <f>(F15-F14)/F15</f>
        <v>-0.40341268169370126</v>
      </c>
    </row>
    <row r="15" spans="2:14" x14ac:dyDescent="0.2">
      <c r="B15" s="54"/>
      <c r="C15" s="7" t="s">
        <v>18</v>
      </c>
      <c r="D15" s="8">
        <v>221678</v>
      </c>
      <c r="E15">
        <v>414580</v>
      </c>
      <c r="F15" s="23">
        <v>4747</v>
      </c>
      <c r="G15">
        <v>153392</v>
      </c>
      <c r="H15">
        <v>462388</v>
      </c>
      <c r="I15" s="7" t="s">
        <v>91</v>
      </c>
      <c r="J15" s="13">
        <f>(D15-D15)/D15</f>
        <v>0</v>
      </c>
      <c r="K15" s="13">
        <f>(E15-E15)/E15</f>
        <v>0</v>
      </c>
      <c r="L15" s="13">
        <f>(G15-G15)/G15</f>
        <v>0</v>
      </c>
      <c r="M15" s="33">
        <f>(H15-H15)/H15</f>
        <v>0</v>
      </c>
      <c r="N15" s="13">
        <f>(F15-F15)/F15</f>
        <v>0</v>
      </c>
    </row>
    <row r="16" spans="2:14" x14ac:dyDescent="0.2">
      <c r="B16" s="54"/>
      <c r="C16" s="7" t="s">
        <v>19</v>
      </c>
      <c r="D16" s="8">
        <v>229009</v>
      </c>
      <c r="E16">
        <v>320202</v>
      </c>
      <c r="F16" s="23">
        <v>3874</v>
      </c>
      <c r="G16">
        <v>153194</v>
      </c>
      <c r="H16">
        <v>457463</v>
      </c>
      <c r="I16" s="7" t="s">
        <v>92</v>
      </c>
      <c r="J16" s="13">
        <f>(D15-D16)/D15</f>
        <v>-3.3070489629101668E-2</v>
      </c>
      <c r="K16" s="13">
        <f>(E15-E16)/E15</f>
        <v>0.22764725746538667</v>
      </c>
      <c r="L16" s="13">
        <f>(G15-G16)/G15</f>
        <v>1.2908104725148639E-3</v>
      </c>
      <c r="M16" s="33">
        <f>(H15-H16)/H15</f>
        <v>1.0651227973044283E-2</v>
      </c>
      <c r="N16" s="22">
        <f>(F15-F16)/F15</f>
        <v>0.1839056246050137</v>
      </c>
    </row>
    <row r="17" spans="2:14" x14ac:dyDescent="0.2">
      <c r="B17" s="53"/>
      <c r="C17" s="15" t="s">
        <v>131</v>
      </c>
      <c r="D17" s="10">
        <v>221678</v>
      </c>
      <c r="E17" s="27">
        <v>414580</v>
      </c>
      <c r="F17" s="28">
        <v>4950</v>
      </c>
      <c r="G17" s="27">
        <v>153392</v>
      </c>
      <c r="H17" s="27">
        <v>462388</v>
      </c>
      <c r="I17" s="5" t="s">
        <v>93</v>
      </c>
      <c r="J17" s="20">
        <f>(D15-D17)/D15</f>
        <v>0</v>
      </c>
      <c r="K17" s="20">
        <f>(E15-E17)/E15</f>
        <v>0</v>
      </c>
      <c r="L17" s="20">
        <f>(G15-G17)/G15</f>
        <v>0</v>
      </c>
      <c r="M17" s="34">
        <f>(H15-H17)/H15</f>
        <v>0</v>
      </c>
      <c r="N17" s="20">
        <f>(F15-F17)/F15</f>
        <v>-4.2763850853170422E-2</v>
      </c>
    </row>
  </sheetData>
  <mergeCells count="17"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  <mergeCell ref="L2:L3"/>
  </mergeCells>
  <conditionalFormatting sqref="J6:N17">
    <cfRule type="cellIs" dxfId="3" priority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4C3C-1CCB-524E-84C7-F543C76815AF}">
  <dimension ref="B1:N17"/>
  <sheetViews>
    <sheetView zoomScale="108" workbookViewId="0">
      <selection activeCell="C9" activeCellId="2" sqref="C17 C13 C9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50" t="s">
        <v>0</v>
      </c>
      <c r="E2" s="41"/>
      <c r="F2" s="43"/>
      <c r="G2" s="41" t="s">
        <v>1</v>
      </c>
      <c r="H2" s="43"/>
      <c r="I2" s="46" t="s">
        <v>2</v>
      </c>
      <c r="J2" s="52" t="s">
        <v>3</v>
      </c>
      <c r="K2" s="52" t="s">
        <v>4</v>
      </c>
      <c r="L2" s="52" t="s">
        <v>5</v>
      </c>
      <c r="M2" s="37" t="s">
        <v>6</v>
      </c>
      <c r="N2" s="4" t="s">
        <v>7</v>
      </c>
    </row>
    <row r="3" spans="2:14" x14ac:dyDescent="0.2">
      <c r="B3" s="3"/>
      <c r="D3" s="51"/>
      <c r="E3" s="42"/>
      <c r="F3" s="44"/>
      <c r="G3" s="42"/>
      <c r="H3" s="44"/>
      <c r="I3" s="47"/>
      <c r="J3" s="53"/>
      <c r="K3" s="53"/>
      <c r="L3" s="53"/>
      <c r="M3" s="38"/>
      <c r="N3" s="5" t="s">
        <v>8</v>
      </c>
    </row>
    <row r="4" spans="2:14" x14ac:dyDescent="0.2">
      <c r="B4" s="6" t="s">
        <v>9</v>
      </c>
      <c r="C4" s="4" t="s">
        <v>10</v>
      </c>
      <c r="D4" s="55" t="s">
        <v>11</v>
      </c>
      <c r="E4" s="45" t="s">
        <v>12</v>
      </c>
      <c r="F4" s="56" t="s">
        <v>13</v>
      </c>
      <c r="G4" s="45" t="s">
        <v>14</v>
      </c>
      <c r="H4" s="45" t="s">
        <v>12</v>
      </c>
      <c r="I4" s="46" t="s">
        <v>15</v>
      </c>
      <c r="J4" s="48"/>
      <c r="K4" s="7"/>
      <c r="L4" s="7"/>
      <c r="M4" s="8"/>
      <c r="N4" s="7"/>
    </row>
    <row r="5" spans="2:14" x14ac:dyDescent="0.2">
      <c r="B5" s="9"/>
      <c r="C5" s="7"/>
      <c r="D5" s="40"/>
      <c r="E5" s="42"/>
      <c r="F5" s="44"/>
      <c r="G5" s="42"/>
      <c r="H5" s="42"/>
      <c r="I5" s="47"/>
      <c r="J5" s="49"/>
      <c r="K5" s="5"/>
      <c r="L5" s="5"/>
      <c r="M5" s="10"/>
      <c r="N5" s="7"/>
    </row>
    <row r="6" spans="2:14" x14ac:dyDescent="0.2">
      <c r="B6" s="52" t="s">
        <v>16</v>
      </c>
      <c r="C6" s="4" t="s">
        <v>17</v>
      </c>
      <c r="D6" s="8">
        <v>88044</v>
      </c>
      <c r="E6">
        <v>138105</v>
      </c>
      <c r="F6" s="23">
        <v>2807</v>
      </c>
      <c r="G6">
        <v>63245</v>
      </c>
      <c r="H6">
        <v>160280</v>
      </c>
      <c r="I6" s="7" t="s">
        <v>94</v>
      </c>
      <c r="J6" s="11">
        <f>(D8-D6)/D8</f>
        <v>-7.1033938437253356E-3</v>
      </c>
      <c r="K6" s="11">
        <f t="shared" ref="K6" si="0">(E8-E6)/E8</f>
        <v>-0.22544321993291808</v>
      </c>
      <c r="L6" s="11">
        <f>(G8-G6)/G8</f>
        <v>-1.0222825652903124E-2</v>
      </c>
      <c r="M6" s="11">
        <f>(H8-H6)/H8</f>
        <v>-9.0548599619071405E-4</v>
      </c>
      <c r="N6" s="35">
        <f>(F6-F8)/F8</f>
        <v>0.61880046136101496</v>
      </c>
    </row>
    <row r="7" spans="2:14" x14ac:dyDescent="0.2">
      <c r="B7" s="54"/>
      <c r="C7" s="7" t="s">
        <v>18</v>
      </c>
      <c r="D7" s="8">
        <v>85526</v>
      </c>
      <c r="E7">
        <v>132406</v>
      </c>
      <c r="F7" s="23">
        <v>1799</v>
      </c>
      <c r="G7">
        <v>62554</v>
      </c>
      <c r="H7">
        <v>160385</v>
      </c>
      <c r="I7" s="7" t="s">
        <v>95</v>
      </c>
      <c r="J7" s="13">
        <f>(D8-D7)/D8</f>
        <v>2.1699095203779325E-2</v>
      </c>
      <c r="K7" s="13">
        <f t="shared" ref="K7" si="1">(E8-E7)/E8</f>
        <v>-0.17487444320218637</v>
      </c>
      <c r="L7" s="13">
        <f>(G8-G7)/G8</f>
        <v>8.146314192157176E-4</v>
      </c>
      <c r="M7" s="13">
        <f>(H8-H7)/H8</f>
        <v>-1.5611827520529552E-3</v>
      </c>
      <c r="N7" s="13">
        <f>(F7-F8)/F8</f>
        <v>3.7485582468281431E-2</v>
      </c>
    </row>
    <row r="8" spans="2:14" x14ac:dyDescent="0.2">
      <c r="B8" s="54"/>
      <c r="C8" s="7" t="s">
        <v>19</v>
      </c>
      <c r="D8" s="8">
        <v>87423</v>
      </c>
      <c r="E8">
        <v>112698</v>
      </c>
      <c r="F8" s="23">
        <v>1734</v>
      </c>
      <c r="G8">
        <v>62605</v>
      </c>
      <c r="H8">
        <v>160135</v>
      </c>
      <c r="I8" s="7" t="s">
        <v>96</v>
      </c>
      <c r="J8" s="13">
        <f>(D8-D8)/D8</f>
        <v>0</v>
      </c>
      <c r="K8" s="13">
        <f t="shared" ref="K8" si="2">(E8-E8)/E8</f>
        <v>0</v>
      </c>
      <c r="L8" s="13">
        <f>(G8-G8)/G8</f>
        <v>0</v>
      </c>
      <c r="M8" s="13">
        <f>(H8-H8)/H8</f>
        <v>0</v>
      </c>
      <c r="N8" s="13">
        <f>(F8-F8)/F8</f>
        <v>0</v>
      </c>
    </row>
    <row r="9" spans="2:14" x14ac:dyDescent="0.2">
      <c r="B9" s="53"/>
      <c r="C9" s="15" t="s">
        <v>131</v>
      </c>
      <c r="D9" s="8">
        <v>84566</v>
      </c>
      <c r="E9">
        <v>139537</v>
      </c>
      <c r="F9" s="23">
        <v>2834</v>
      </c>
      <c r="G9">
        <v>62458</v>
      </c>
      <c r="H9">
        <v>160279</v>
      </c>
      <c r="I9" s="7" t="s">
        <v>97</v>
      </c>
      <c r="J9" s="20">
        <f>(D8-D9)/D8</f>
        <v>3.2680187136108346E-2</v>
      </c>
      <c r="K9" s="20">
        <f t="shared" ref="K9" si="3">(E8-E9)/E8</f>
        <v>-0.2381497453370956</v>
      </c>
      <c r="L9" s="20">
        <f>(G8-G9)/G8</f>
        <v>2.3480552671511861E-3</v>
      </c>
      <c r="M9" s="20">
        <f>(H8-H9)/H8</f>
        <v>-8.9924126518250221E-4</v>
      </c>
      <c r="N9" s="20">
        <f>(F8-F9)/F8</f>
        <v>-0.63437139561707034</v>
      </c>
    </row>
    <row r="10" spans="2:14" x14ac:dyDescent="0.2">
      <c r="B10" s="52" t="s">
        <v>20</v>
      </c>
      <c r="C10" s="4" t="s">
        <v>17</v>
      </c>
      <c r="D10" s="24">
        <v>124627</v>
      </c>
      <c r="E10" s="25">
        <v>173628</v>
      </c>
      <c r="F10" s="26">
        <v>3975</v>
      </c>
      <c r="G10" s="25">
        <v>93235</v>
      </c>
      <c r="H10" s="25">
        <v>205156</v>
      </c>
      <c r="I10" s="4" t="s">
        <v>98</v>
      </c>
      <c r="J10" s="11">
        <f>(D12-D10)/D12</f>
        <v>-8.8069354616760707E-3</v>
      </c>
      <c r="K10" s="11">
        <f t="shared" ref="K10" si="4">(E12-E10)/E12</f>
        <v>-0.29447550883471257</v>
      </c>
      <c r="L10" s="11">
        <f>(G12-G10)/G12</f>
        <v>-8.8293532715134331E-3</v>
      </c>
      <c r="M10" s="11">
        <f>(H12-H10)/H12</f>
        <v>-2.4284297294524062E-3</v>
      </c>
      <c r="N10" s="36">
        <f>(F10-F12)/F12</f>
        <v>1.210789766407119</v>
      </c>
    </row>
    <row r="11" spans="2:14" x14ac:dyDescent="0.2">
      <c r="B11" s="54"/>
      <c r="C11" s="7" t="s">
        <v>18</v>
      </c>
      <c r="D11" s="8">
        <v>121638</v>
      </c>
      <c r="E11">
        <v>169038</v>
      </c>
      <c r="F11" s="23">
        <v>1978</v>
      </c>
      <c r="G11">
        <v>91679</v>
      </c>
      <c r="H11">
        <v>201444</v>
      </c>
      <c r="I11" s="7" t="s">
        <v>99</v>
      </c>
      <c r="J11" s="13">
        <f>(D12-D11)/D12</f>
        <v>1.5387853228535118E-2</v>
      </c>
      <c r="K11" s="13">
        <f t="shared" ref="K11" si="5">(E12-E11)/E12</f>
        <v>-0.26025497651532098</v>
      </c>
      <c r="L11" s="13">
        <f>(G12-G11)/G12</f>
        <v>8.0070115452450259E-3</v>
      </c>
      <c r="M11" s="13">
        <f>(H12-H11)/H12</f>
        <v>1.570905750541144E-2</v>
      </c>
      <c r="N11" s="13">
        <f>(F11-F12)/F12</f>
        <v>0.10011123470522804</v>
      </c>
    </row>
    <row r="12" spans="2:14" x14ac:dyDescent="0.2">
      <c r="B12" s="54"/>
      <c r="C12" s="7" t="s">
        <v>19</v>
      </c>
      <c r="D12" s="8">
        <v>123539</v>
      </c>
      <c r="E12">
        <v>134130</v>
      </c>
      <c r="F12" s="23">
        <v>1798</v>
      </c>
      <c r="G12">
        <v>92419</v>
      </c>
      <c r="H12">
        <v>204659</v>
      </c>
      <c r="I12" s="7" t="s">
        <v>100</v>
      </c>
      <c r="J12" s="13">
        <f>(D12-D12)/D12</f>
        <v>0</v>
      </c>
      <c r="K12" s="13">
        <f t="shared" ref="K12" si="6">(E12-E12)/E12</f>
        <v>0</v>
      </c>
      <c r="L12" s="13">
        <f>(G12-G12)/G12</f>
        <v>0</v>
      </c>
      <c r="M12" s="13">
        <f>(H12-H12)/H12</f>
        <v>0</v>
      </c>
      <c r="N12" s="13">
        <f>(F12-F12)/F12</f>
        <v>0</v>
      </c>
    </row>
    <row r="13" spans="2:14" x14ac:dyDescent="0.2">
      <c r="B13" s="53"/>
      <c r="C13" s="15" t="s">
        <v>131</v>
      </c>
      <c r="D13" s="10">
        <v>120533</v>
      </c>
      <c r="E13" s="27">
        <v>166029</v>
      </c>
      <c r="F13" s="28">
        <v>4912</v>
      </c>
      <c r="G13" s="27">
        <v>91585</v>
      </c>
      <c r="H13" s="27">
        <v>201373</v>
      </c>
      <c r="I13" s="5" t="s">
        <v>101</v>
      </c>
      <c r="J13" s="20">
        <f>(D12-D13)/D12</f>
        <v>2.4332397056799876E-2</v>
      </c>
      <c r="K13" s="20">
        <f t="shared" ref="K13" si="7">(E12-E13)/E12</f>
        <v>-0.23782151643927532</v>
      </c>
      <c r="L13" s="20">
        <f>(G12-G13)/G12</f>
        <v>9.024118417208583E-3</v>
      </c>
      <c r="M13" s="20">
        <f>(H12-H13)/H12</f>
        <v>1.6055976038190357E-2</v>
      </c>
      <c r="N13" s="20">
        <f>(F12-F13)/F12</f>
        <v>-1.7319243604004448</v>
      </c>
    </row>
    <row r="14" spans="2:14" x14ac:dyDescent="0.2">
      <c r="B14" s="52" t="s">
        <v>21</v>
      </c>
      <c r="C14" s="4" t="s">
        <v>17</v>
      </c>
      <c r="D14" s="8">
        <v>230767</v>
      </c>
      <c r="E14">
        <v>429418</v>
      </c>
      <c r="F14" s="23">
        <v>5658</v>
      </c>
      <c r="G14">
        <v>154668</v>
      </c>
      <c r="H14">
        <v>459373</v>
      </c>
      <c r="I14" s="7" t="s">
        <v>102</v>
      </c>
      <c r="J14" s="11">
        <f>(D16-D14)/D16</f>
        <v>-7.6765541965599605E-3</v>
      </c>
      <c r="K14" s="11">
        <f t="shared" ref="K14" si="8">(E16-E14)/E16</f>
        <v>-0.34108469028925492</v>
      </c>
      <c r="L14" s="11">
        <f>(G16-G14)/G16</f>
        <v>-9.6217867540504196E-3</v>
      </c>
      <c r="M14" s="11">
        <f>(H16-H14)/H16</f>
        <v>-4.1752010545115124E-3</v>
      </c>
      <c r="N14" s="35">
        <f>(F14-F16)/F16</f>
        <v>0.42303822937625757</v>
      </c>
    </row>
    <row r="15" spans="2:14" x14ac:dyDescent="0.2">
      <c r="B15" s="54"/>
      <c r="C15" s="7" t="s">
        <v>18</v>
      </c>
      <c r="D15" s="8">
        <v>221678</v>
      </c>
      <c r="E15">
        <v>414580</v>
      </c>
      <c r="F15" s="23">
        <v>4145</v>
      </c>
      <c r="G15">
        <v>153392</v>
      </c>
      <c r="H15">
        <v>462388</v>
      </c>
      <c r="I15" s="7" t="s">
        <v>103</v>
      </c>
      <c r="J15" s="13">
        <f>(D16-D15)/D16</f>
        <v>3.2011842329340769E-2</v>
      </c>
      <c r="K15" s="13">
        <f t="shared" ref="K15" si="9">(E16-E15)/E16</f>
        <v>-0.29474519209748845</v>
      </c>
      <c r="L15" s="13">
        <f>(G16-G15)/G16</f>
        <v>-1.2924788177082654E-3</v>
      </c>
      <c r="M15" s="13">
        <f>(H16-H15)/H16</f>
        <v>-1.0765898007051937E-2</v>
      </c>
      <c r="N15" s="13">
        <f>(F15-F16)/F16</f>
        <v>4.250503018108652E-2</v>
      </c>
    </row>
    <row r="16" spans="2:14" x14ac:dyDescent="0.2">
      <c r="B16" s="54"/>
      <c r="C16" s="7" t="s">
        <v>19</v>
      </c>
      <c r="D16" s="8">
        <v>229009</v>
      </c>
      <c r="E16">
        <v>320202</v>
      </c>
      <c r="F16" s="23">
        <v>3976</v>
      </c>
      <c r="G16">
        <v>153194</v>
      </c>
      <c r="H16">
        <v>457463</v>
      </c>
      <c r="I16" s="7" t="s">
        <v>104</v>
      </c>
      <c r="J16" s="13">
        <f>(D16-D16)/D16</f>
        <v>0</v>
      </c>
      <c r="K16" s="13">
        <f t="shared" ref="K16" si="10">(E16-E16)/E16</f>
        <v>0</v>
      </c>
      <c r="L16" s="13">
        <f>(G16-G16)/G16</f>
        <v>0</v>
      </c>
      <c r="M16" s="13">
        <f>(H16-H16)/H16</f>
        <v>0</v>
      </c>
      <c r="N16" s="13">
        <f>(F16-F16)/F16</f>
        <v>0</v>
      </c>
    </row>
    <row r="17" spans="2:14" ht="19" x14ac:dyDescent="0.25">
      <c r="B17" s="53"/>
      <c r="C17" s="15" t="s">
        <v>131</v>
      </c>
      <c r="D17" s="16" t="s">
        <v>105</v>
      </c>
      <c r="E17" s="27">
        <v>397843</v>
      </c>
      <c r="F17" s="18" t="s">
        <v>105</v>
      </c>
      <c r="G17" s="17" t="s">
        <v>105</v>
      </c>
      <c r="H17" s="17" t="s">
        <v>105</v>
      </c>
      <c r="I17" s="19" t="s">
        <v>105</v>
      </c>
      <c r="J17" s="20" t="e">
        <f>(D16-D17)/D16</f>
        <v>#VALUE!</v>
      </c>
      <c r="K17" s="20">
        <f t="shared" ref="K17" si="11">(E16-E17)/E16</f>
        <v>-0.24247506261672319</v>
      </c>
      <c r="L17" s="20" t="e">
        <f>(G16-G17)/G16</f>
        <v>#VALUE!</v>
      </c>
      <c r="M17" s="20" t="e">
        <f>(H16-H17)/H16</f>
        <v>#VALUE!</v>
      </c>
      <c r="N17" s="20" t="e">
        <f>(F16-F17)/F16</f>
        <v>#VALUE!</v>
      </c>
    </row>
  </sheetData>
  <mergeCells count="17"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  <mergeCell ref="L2:L3"/>
  </mergeCells>
  <conditionalFormatting sqref="J6:N17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5902-9305-D041-B1CA-DFC2482A78F0}">
  <dimension ref="B1:N17"/>
  <sheetViews>
    <sheetView topLeftCell="C1" workbookViewId="0">
      <selection activeCell="N17" sqref="N17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50" t="s">
        <v>0</v>
      </c>
      <c r="E2" s="41"/>
      <c r="F2" s="43"/>
      <c r="G2" s="41" t="s">
        <v>1</v>
      </c>
      <c r="H2" s="41"/>
      <c r="I2" s="46" t="s">
        <v>2</v>
      </c>
      <c r="J2" s="52" t="s">
        <v>3</v>
      </c>
      <c r="K2" s="52" t="s">
        <v>4</v>
      </c>
      <c r="L2" s="52" t="s">
        <v>5</v>
      </c>
      <c r="M2" s="37" t="s">
        <v>6</v>
      </c>
      <c r="N2" s="4" t="s">
        <v>7</v>
      </c>
    </row>
    <row r="3" spans="2:14" x14ac:dyDescent="0.2">
      <c r="B3" s="3"/>
      <c r="D3" s="51"/>
      <c r="E3" s="42"/>
      <c r="F3" s="44"/>
      <c r="G3" s="42"/>
      <c r="H3" s="42"/>
      <c r="I3" s="47"/>
      <c r="J3" s="53"/>
      <c r="K3" s="53"/>
      <c r="L3" s="53"/>
      <c r="M3" s="38"/>
      <c r="N3" s="5" t="s">
        <v>8</v>
      </c>
    </row>
    <row r="4" spans="2:14" x14ac:dyDescent="0.2">
      <c r="B4" s="6" t="s">
        <v>9</v>
      </c>
      <c r="C4" s="4" t="s">
        <v>10</v>
      </c>
      <c r="D4" s="55" t="s">
        <v>11</v>
      </c>
      <c r="E4" s="45" t="s">
        <v>12</v>
      </c>
      <c r="F4" s="56" t="s">
        <v>13</v>
      </c>
      <c r="G4" s="45" t="s">
        <v>14</v>
      </c>
      <c r="H4" s="45" t="s">
        <v>12</v>
      </c>
      <c r="I4" s="46" t="s">
        <v>15</v>
      </c>
      <c r="J4" s="48"/>
      <c r="K4" s="7"/>
      <c r="L4" s="7"/>
      <c r="M4" s="8"/>
      <c r="N4" s="7"/>
    </row>
    <row r="5" spans="2:14" x14ac:dyDescent="0.2">
      <c r="B5" s="9"/>
      <c r="C5" s="7"/>
      <c r="D5" s="40"/>
      <c r="E5" s="42"/>
      <c r="F5" s="44"/>
      <c r="G5" s="42"/>
      <c r="H5" s="42"/>
      <c r="I5" s="47"/>
      <c r="J5" s="49"/>
      <c r="K5" s="5"/>
      <c r="L5" s="5"/>
      <c r="M5" s="10"/>
      <c r="N5" s="7"/>
    </row>
    <row r="6" spans="2:14" x14ac:dyDescent="0.2">
      <c r="B6" s="52" t="s">
        <v>16</v>
      </c>
      <c r="C6" s="4" t="s">
        <v>17</v>
      </c>
      <c r="D6" s="8">
        <v>88044</v>
      </c>
      <c r="E6">
        <v>138105</v>
      </c>
      <c r="F6" s="23">
        <v>2616</v>
      </c>
      <c r="G6">
        <v>63245</v>
      </c>
      <c r="H6">
        <v>160280</v>
      </c>
      <c r="I6" s="7" t="s">
        <v>106</v>
      </c>
      <c r="J6" s="11">
        <f>(D8-D6)/D8</f>
        <v>-7.1033938437253356E-3</v>
      </c>
      <c r="K6" s="11">
        <f t="shared" ref="K6" si="0">(E8-E6)/E8</f>
        <v>-0.22544321993291808</v>
      </c>
      <c r="L6" s="11">
        <f>(G8-G6)/G8</f>
        <v>-1.0222825652903124E-2</v>
      </c>
      <c r="M6" s="11">
        <f>(H8-H6)/H8</f>
        <v>-9.0548599619071405E-4</v>
      </c>
      <c r="N6" s="35">
        <f>(F6-F8)/F8</f>
        <v>0.18157181571815717</v>
      </c>
    </row>
    <row r="7" spans="2:14" x14ac:dyDescent="0.2">
      <c r="B7" s="54"/>
      <c r="C7" s="7" t="s">
        <v>18</v>
      </c>
      <c r="D7" s="8">
        <v>85526</v>
      </c>
      <c r="E7">
        <v>132406</v>
      </c>
      <c r="F7" s="23">
        <v>1817</v>
      </c>
      <c r="G7">
        <v>62554</v>
      </c>
      <c r="H7">
        <v>160385</v>
      </c>
      <c r="I7" s="7" t="s">
        <v>107</v>
      </c>
      <c r="J7" s="13">
        <f>(D8-D7)/D8</f>
        <v>2.1699095203779325E-2</v>
      </c>
      <c r="K7" s="13">
        <f t="shared" ref="K7" si="1">(E8-E7)/E8</f>
        <v>-0.17487444320218637</v>
      </c>
      <c r="L7" s="13">
        <f>(G8-G7)/G8</f>
        <v>8.146314192157176E-4</v>
      </c>
      <c r="M7" s="13">
        <f>(H8-H7)/H8</f>
        <v>-1.5611827520529552E-3</v>
      </c>
      <c r="N7" s="13">
        <f>(F7-F8)/F8</f>
        <v>-0.17931345980126467</v>
      </c>
    </row>
    <row r="8" spans="2:14" x14ac:dyDescent="0.2">
      <c r="B8" s="54"/>
      <c r="C8" s="7" t="s">
        <v>19</v>
      </c>
      <c r="D8" s="8">
        <v>87423</v>
      </c>
      <c r="E8">
        <v>112698</v>
      </c>
      <c r="F8" s="23">
        <v>2214</v>
      </c>
      <c r="G8">
        <v>62605</v>
      </c>
      <c r="H8">
        <v>160135</v>
      </c>
      <c r="I8" s="7" t="s">
        <v>108</v>
      </c>
      <c r="J8" s="13">
        <f>(D8-D8)/D8</f>
        <v>0</v>
      </c>
      <c r="K8" s="13">
        <f t="shared" ref="K8" si="2">(E8-E8)/E8</f>
        <v>0</v>
      </c>
      <c r="L8" s="13">
        <f>(G8-G8)/G8</f>
        <v>0</v>
      </c>
      <c r="M8" s="13">
        <f>(H8-H8)/H8</f>
        <v>0</v>
      </c>
      <c r="N8" s="13">
        <f>(F8-F8)/F8</f>
        <v>0</v>
      </c>
    </row>
    <row r="9" spans="2:14" x14ac:dyDescent="0.2">
      <c r="B9" s="53"/>
      <c r="C9" s="15" t="s">
        <v>131</v>
      </c>
      <c r="D9" s="8">
        <v>78799</v>
      </c>
      <c r="E9">
        <v>114598</v>
      </c>
      <c r="F9" s="23">
        <v>25433</v>
      </c>
      <c r="G9">
        <v>62324</v>
      </c>
      <c r="H9">
        <v>160562</v>
      </c>
      <c r="I9" s="7" t="s">
        <v>109</v>
      </c>
      <c r="J9" s="20">
        <f>(D8-D9)/D8</f>
        <v>9.8646809192089041E-2</v>
      </c>
      <c r="K9" s="20">
        <f t="shared" ref="K9" si="3">(E8-E9)/E8</f>
        <v>-1.6859216667553995E-2</v>
      </c>
      <c r="L9" s="20">
        <f>(G8-G9)/G8</f>
        <v>4.4884593882277774E-3</v>
      </c>
      <c r="M9" s="20">
        <f>(H8-H9)/H8</f>
        <v>-2.6665001405064477E-3</v>
      </c>
      <c r="N9" s="20">
        <f>(F8-F9)/F8</f>
        <v>-10.487353206865402</v>
      </c>
    </row>
    <row r="10" spans="2:14" x14ac:dyDescent="0.2">
      <c r="B10" s="52" t="s">
        <v>20</v>
      </c>
      <c r="C10" s="4" t="s">
        <v>17</v>
      </c>
      <c r="D10" s="24">
        <v>124627</v>
      </c>
      <c r="E10" s="25">
        <v>173628</v>
      </c>
      <c r="F10" s="26">
        <v>3770</v>
      </c>
      <c r="G10" s="25">
        <v>93235</v>
      </c>
      <c r="H10" s="25">
        <v>205156</v>
      </c>
      <c r="I10" s="4" t="s">
        <v>110</v>
      </c>
      <c r="J10" s="11">
        <f>(D12-D10)/D12</f>
        <v>-8.8069354616760707E-3</v>
      </c>
      <c r="K10" s="11">
        <f t="shared" ref="K10" si="4">(E12-E10)/E12</f>
        <v>-0.29447550883471257</v>
      </c>
      <c r="L10" s="11">
        <f>(G12-G10)/G12</f>
        <v>-8.8293532715134331E-3</v>
      </c>
      <c r="M10" s="11">
        <f>(H12-H10)/H12</f>
        <v>-2.4284297294524062E-3</v>
      </c>
      <c r="N10" s="35">
        <f>(F10-F12)/F12</f>
        <v>1.1691599539700805</v>
      </c>
    </row>
    <row r="11" spans="2:14" x14ac:dyDescent="0.2">
      <c r="B11" s="54"/>
      <c r="C11" s="7" t="s">
        <v>18</v>
      </c>
      <c r="D11" s="8">
        <v>121638</v>
      </c>
      <c r="E11">
        <v>169038</v>
      </c>
      <c r="F11" s="23">
        <v>2154</v>
      </c>
      <c r="G11">
        <v>91679</v>
      </c>
      <c r="H11">
        <v>201444</v>
      </c>
      <c r="I11" s="7" t="s">
        <v>111</v>
      </c>
      <c r="J11" s="13">
        <f>(D12-D11)/D12</f>
        <v>1.5387853228535118E-2</v>
      </c>
      <c r="K11" s="13">
        <f t="shared" ref="K11" si="5">(E12-E11)/E12</f>
        <v>-0.26025497651532098</v>
      </c>
      <c r="L11" s="13">
        <f>(G12-G11)/G12</f>
        <v>8.0070115452450259E-3</v>
      </c>
      <c r="M11" s="13">
        <f>(H12-H11)/H12</f>
        <v>1.570905750541144E-2</v>
      </c>
      <c r="N11" s="13">
        <f>(F11-F12)/F12</f>
        <v>0.23935558112773303</v>
      </c>
    </row>
    <row r="12" spans="2:14" x14ac:dyDescent="0.2">
      <c r="B12" s="54"/>
      <c r="C12" s="7" t="s">
        <v>19</v>
      </c>
      <c r="D12" s="8">
        <v>123539</v>
      </c>
      <c r="E12">
        <v>134130</v>
      </c>
      <c r="F12" s="23">
        <v>1738</v>
      </c>
      <c r="G12">
        <v>92419</v>
      </c>
      <c r="H12">
        <v>204659</v>
      </c>
      <c r="I12" s="7" t="s">
        <v>112</v>
      </c>
      <c r="J12" s="13">
        <f>(D12-D12)/D12</f>
        <v>0</v>
      </c>
      <c r="K12" s="13">
        <f t="shared" ref="K12" si="6">(E12-E12)/E12</f>
        <v>0</v>
      </c>
      <c r="L12" s="13">
        <f>(G12-G12)/G12</f>
        <v>0</v>
      </c>
      <c r="M12" s="13">
        <f>(H12-H12)/H12</f>
        <v>0</v>
      </c>
      <c r="N12" s="13">
        <f>(F12-F12)/F12</f>
        <v>0</v>
      </c>
    </row>
    <row r="13" spans="2:14" x14ac:dyDescent="0.2">
      <c r="B13" s="53"/>
      <c r="C13" s="15" t="s">
        <v>131</v>
      </c>
      <c r="D13" s="10">
        <v>113929</v>
      </c>
      <c r="E13" s="27">
        <v>136699</v>
      </c>
      <c r="F13" s="28">
        <v>22101</v>
      </c>
      <c r="G13" s="27">
        <v>91475</v>
      </c>
      <c r="H13" s="27">
        <v>202956</v>
      </c>
      <c r="I13" s="5" t="s">
        <v>113</v>
      </c>
      <c r="J13" s="20">
        <f>(D12-D13)/D12</f>
        <v>7.7789200171605732E-2</v>
      </c>
      <c r="K13" s="20">
        <f t="shared" ref="K13" si="7">(E12-E13)/E12</f>
        <v>-1.9153060463729218E-2</v>
      </c>
      <c r="L13" s="20">
        <f>(G12-G13)/G12</f>
        <v>1.0214349863123385E-2</v>
      </c>
      <c r="M13" s="20">
        <f>(H12-H13)/H12</f>
        <v>8.3211586101759518E-3</v>
      </c>
      <c r="N13" s="20">
        <f>(F12-F13)/F12</f>
        <v>-11.716340621403912</v>
      </c>
    </row>
    <row r="14" spans="2:14" x14ac:dyDescent="0.2">
      <c r="B14" s="52" t="s">
        <v>21</v>
      </c>
      <c r="C14" s="4" t="s">
        <v>17</v>
      </c>
      <c r="D14" s="8">
        <v>230767</v>
      </c>
      <c r="E14">
        <v>429418</v>
      </c>
      <c r="F14" s="23">
        <v>6295</v>
      </c>
      <c r="G14">
        <v>154668</v>
      </c>
      <c r="H14">
        <v>459373</v>
      </c>
      <c r="I14" s="7" t="s">
        <v>114</v>
      </c>
      <c r="J14" s="11">
        <f>(D16-D14)/D16</f>
        <v>-7.6765541965599605E-3</v>
      </c>
      <c r="K14" s="11">
        <f t="shared" ref="K14" si="8">(E16-E14)/E16</f>
        <v>-0.34108469028925492</v>
      </c>
      <c r="L14" s="11">
        <f>(G16-G14)/G16</f>
        <v>-9.6217867540504196E-3</v>
      </c>
      <c r="M14" s="11">
        <f>(H16-H14)/H16</f>
        <v>-4.1752010545115124E-3</v>
      </c>
      <c r="N14" s="35">
        <f>(F14-F16)/F16</f>
        <v>0.90526634382566584</v>
      </c>
    </row>
    <row r="15" spans="2:14" x14ac:dyDescent="0.2">
      <c r="B15" s="54"/>
      <c r="C15" s="7" t="s">
        <v>18</v>
      </c>
      <c r="D15" s="8">
        <v>221678</v>
      </c>
      <c r="E15">
        <v>414580</v>
      </c>
      <c r="F15" s="23">
        <v>4516</v>
      </c>
      <c r="G15">
        <v>153392</v>
      </c>
      <c r="H15">
        <v>462388</v>
      </c>
      <c r="I15" s="7" t="s">
        <v>115</v>
      </c>
      <c r="J15" s="13">
        <f>(D16-D15)/D16</f>
        <v>3.2011842329340769E-2</v>
      </c>
      <c r="K15" s="13">
        <f t="shared" ref="K15" si="9">(E16-E15)/E16</f>
        <v>-0.29474519209748845</v>
      </c>
      <c r="L15" s="13">
        <f>(G16-G15)/G16</f>
        <v>-1.2924788177082654E-3</v>
      </c>
      <c r="M15" s="13">
        <f>(H16-H15)/H16</f>
        <v>-1.0765898007051937E-2</v>
      </c>
      <c r="N15" s="13">
        <f>(F15-F16)/F16</f>
        <v>0.36682808716707022</v>
      </c>
    </row>
    <row r="16" spans="2:14" x14ac:dyDescent="0.2">
      <c r="B16" s="54"/>
      <c r="C16" s="7" t="s">
        <v>19</v>
      </c>
      <c r="D16" s="8">
        <v>229009</v>
      </c>
      <c r="E16">
        <v>320202</v>
      </c>
      <c r="F16" s="23">
        <v>3304</v>
      </c>
      <c r="G16">
        <v>153194</v>
      </c>
      <c r="H16">
        <v>457463</v>
      </c>
      <c r="I16" s="7" t="s">
        <v>116</v>
      </c>
      <c r="J16" s="13">
        <f>(D16-D16)/D16</f>
        <v>0</v>
      </c>
      <c r="K16" s="13">
        <f t="shared" ref="K16" si="10">(E16-E16)/E16</f>
        <v>0</v>
      </c>
      <c r="L16" s="13">
        <f>(G16-G16)/G16</f>
        <v>0</v>
      </c>
      <c r="M16" s="13">
        <f>(H16-H16)/H16</f>
        <v>0</v>
      </c>
      <c r="N16" s="13">
        <f>(F16-F16)/F16</f>
        <v>0</v>
      </c>
    </row>
    <row r="17" spans="2:14" x14ac:dyDescent="0.2">
      <c r="B17" s="53"/>
      <c r="C17" s="15" t="s">
        <v>131</v>
      </c>
      <c r="D17" s="10">
        <v>195700</v>
      </c>
      <c r="E17" s="27">
        <v>326814</v>
      </c>
      <c r="F17" s="28">
        <v>16768</v>
      </c>
      <c r="G17" s="27">
        <v>152315</v>
      </c>
      <c r="H17" s="27">
        <v>461885</v>
      </c>
      <c r="I17" s="5" t="s">
        <v>117</v>
      </c>
      <c r="J17" s="20">
        <f>(D16-D17)/D16</f>
        <v>0.14544843215768813</v>
      </c>
      <c r="K17" s="20">
        <f t="shared" ref="K17" si="11">(E16-E17)/E16</f>
        <v>-2.0649465025202842E-2</v>
      </c>
      <c r="L17" s="20">
        <f>(G16-G17)/G16</f>
        <v>5.7378226301291173E-3</v>
      </c>
      <c r="M17" s="20">
        <f>(H16-H17)/H16</f>
        <v>-9.6663555303926219E-3</v>
      </c>
      <c r="N17" s="20">
        <f>(F16-F17)/F16</f>
        <v>-4.075060532687651</v>
      </c>
    </row>
  </sheetData>
  <mergeCells count="17"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  <mergeCell ref="L2:L3"/>
  </mergeCells>
  <conditionalFormatting sqref="J6:N17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539-9121-C64F-B00E-E20FFA0D7D09}">
  <dimension ref="B1:N17"/>
  <sheetViews>
    <sheetView tabSelected="1" zoomScale="102" workbookViewId="0">
      <selection activeCell="P39" sqref="P39"/>
    </sheetView>
  </sheetViews>
  <sheetFormatPr baseColWidth="10" defaultRowHeight="16" x14ac:dyDescent="0.2"/>
  <cols>
    <col min="4" max="4" width="13.83203125" bestFit="1" customWidth="1"/>
    <col min="5" max="5" width="9.33203125" bestFit="1" customWidth="1"/>
    <col min="6" max="6" width="12" bestFit="1" customWidth="1"/>
    <col min="7" max="7" width="13.83203125" bestFit="1" customWidth="1"/>
    <col min="8" max="8" width="9.33203125" bestFit="1" customWidth="1"/>
    <col min="9" max="9" width="12.5" bestFit="1" customWidth="1"/>
    <col min="10" max="10" width="27.5" bestFit="1" customWidth="1"/>
    <col min="11" max="11" width="26.1640625" bestFit="1" customWidth="1"/>
    <col min="12" max="12" width="27.5" bestFit="1" customWidth="1"/>
    <col min="13" max="13" width="26.1640625" bestFit="1" customWidth="1"/>
    <col min="14" max="14" width="19.1640625" bestFit="1" customWidth="1"/>
  </cols>
  <sheetData>
    <row r="1" spans="2:14" x14ac:dyDescent="0.2">
      <c r="D1" s="1"/>
      <c r="I1" s="2"/>
      <c r="J1" s="2"/>
    </row>
    <row r="2" spans="2:14" x14ac:dyDescent="0.2">
      <c r="B2" s="3"/>
      <c r="D2" s="50" t="s">
        <v>0</v>
      </c>
      <c r="E2" s="41"/>
      <c r="F2" s="43"/>
      <c r="G2" s="41" t="s">
        <v>1</v>
      </c>
      <c r="H2" s="43"/>
      <c r="I2" s="57" t="s">
        <v>2</v>
      </c>
      <c r="J2" s="52" t="s">
        <v>3</v>
      </c>
      <c r="K2" s="52" t="s">
        <v>4</v>
      </c>
      <c r="L2" s="52" t="s">
        <v>5</v>
      </c>
      <c r="M2" s="37" t="s">
        <v>6</v>
      </c>
      <c r="N2" s="4" t="s">
        <v>7</v>
      </c>
    </row>
    <row r="3" spans="2:14" x14ac:dyDescent="0.2">
      <c r="B3" s="3"/>
      <c r="D3" s="51"/>
      <c r="E3" s="42"/>
      <c r="F3" s="44"/>
      <c r="G3" s="42"/>
      <c r="H3" s="44"/>
      <c r="I3" s="58"/>
      <c r="J3" s="53"/>
      <c r="K3" s="53"/>
      <c r="L3" s="53"/>
      <c r="M3" s="38"/>
      <c r="N3" s="5" t="s">
        <v>8</v>
      </c>
    </row>
    <row r="4" spans="2:14" x14ac:dyDescent="0.2">
      <c r="B4" s="6" t="s">
        <v>9</v>
      </c>
      <c r="C4" s="4" t="s">
        <v>10</v>
      </c>
      <c r="D4" s="55" t="s">
        <v>11</v>
      </c>
      <c r="E4" s="45" t="s">
        <v>12</v>
      </c>
      <c r="F4" s="56" t="s">
        <v>13</v>
      </c>
      <c r="G4" s="45" t="s">
        <v>14</v>
      </c>
      <c r="H4" s="56" t="s">
        <v>12</v>
      </c>
      <c r="I4" s="57" t="s">
        <v>15</v>
      </c>
      <c r="J4" s="48"/>
      <c r="K4" s="7"/>
      <c r="L4" s="7"/>
      <c r="M4" s="8"/>
      <c r="N4" s="7"/>
    </row>
    <row r="5" spans="2:14" x14ac:dyDescent="0.2">
      <c r="B5" s="9"/>
      <c r="C5" s="7"/>
      <c r="D5" s="40"/>
      <c r="E5" s="42"/>
      <c r="F5" s="44"/>
      <c r="G5" s="42"/>
      <c r="H5" s="44"/>
      <c r="I5" s="58"/>
      <c r="J5" s="49"/>
      <c r="K5" s="5"/>
      <c r="L5" s="5"/>
      <c r="M5" s="10"/>
      <c r="N5" s="7"/>
    </row>
    <row r="6" spans="2:14" x14ac:dyDescent="0.2">
      <c r="B6" s="52" t="s">
        <v>16</v>
      </c>
      <c r="C6" s="4" t="s">
        <v>17</v>
      </c>
      <c r="D6" s="8">
        <v>88044</v>
      </c>
      <c r="E6">
        <v>138105</v>
      </c>
      <c r="F6" s="23">
        <v>2633</v>
      </c>
      <c r="G6">
        <v>63245</v>
      </c>
      <c r="H6" s="23">
        <v>160280</v>
      </c>
      <c r="I6" s="23" t="s">
        <v>118</v>
      </c>
      <c r="J6" s="11">
        <f>(D8-D6)/D8</f>
        <v>-7.1033938437253356E-3</v>
      </c>
      <c r="K6" s="11">
        <f t="shared" ref="K6" si="0">(E8-E6)/E8</f>
        <v>-0.22544321993291808</v>
      </c>
      <c r="L6" s="11">
        <f>(G8-G6)/G8</f>
        <v>-1.0222825652903124E-2</v>
      </c>
      <c r="M6" s="11">
        <f>(H8-H6)/H8</f>
        <v>-9.0548599619071405E-4</v>
      </c>
      <c r="N6" s="35">
        <f>(F6-F8)/F8</f>
        <v>0.95181616011860637</v>
      </c>
    </row>
    <row r="7" spans="2:14" x14ac:dyDescent="0.2">
      <c r="B7" s="54"/>
      <c r="C7" s="7" t="s">
        <v>18</v>
      </c>
      <c r="D7" s="8">
        <v>85526</v>
      </c>
      <c r="E7">
        <v>132406</v>
      </c>
      <c r="F7" s="23">
        <v>1957</v>
      </c>
      <c r="G7">
        <v>62554</v>
      </c>
      <c r="H7" s="23">
        <v>160385</v>
      </c>
      <c r="I7" s="23" t="s">
        <v>119</v>
      </c>
      <c r="J7" s="13">
        <f>(D8-D7)/D8</f>
        <v>2.1699095203779325E-2</v>
      </c>
      <c r="K7" s="13">
        <f t="shared" ref="K7" si="1">(E8-E7)/E8</f>
        <v>-0.17487444320218637</v>
      </c>
      <c r="L7" s="13">
        <f>(G8-G7)/G8</f>
        <v>8.146314192157176E-4</v>
      </c>
      <c r="M7" s="13">
        <f>(H8-H7)/H8</f>
        <v>-1.5611827520529552E-3</v>
      </c>
      <c r="N7" s="13">
        <f>(F7-F8)/F8</f>
        <v>0.45070422535211269</v>
      </c>
    </row>
    <row r="8" spans="2:14" x14ac:dyDescent="0.2">
      <c r="B8" s="54"/>
      <c r="C8" s="7" t="s">
        <v>19</v>
      </c>
      <c r="D8" s="8">
        <v>87423</v>
      </c>
      <c r="E8">
        <v>112698</v>
      </c>
      <c r="F8" s="23">
        <v>1349</v>
      </c>
      <c r="G8">
        <v>62605</v>
      </c>
      <c r="H8" s="23">
        <v>160135</v>
      </c>
      <c r="I8" s="23" t="s">
        <v>120</v>
      </c>
      <c r="J8" s="13">
        <f>(D8-D8)/D8</f>
        <v>0</v>
      </c>
      <c r="K8" s="13">
        <f t="shared" ref="K8" si="2">(E8-E8)/E8</f>
        <v>0</v>
      </c>
      <c r="L8" s="13">
        <f>(G8-G8)/G8</f>
        <v>0</v>
      </c>
      <c r="M8" s="13">
        <f>(H8-H8)/H8</f>
        <v>0</v>
      </c>
      <c r="N8" s="13">
        <f>(F8-F8)/F8</f>
        <v>0</v>
      </c>
    </row>
    <row r="9" spans="2:14" x14ac:dyDescent="0.2">
      <c r="B9" s="53"/>
      <c r="C9" s="15" t="s">
        <v>131</v>
      </c>
      <c r="D9" s="8">
        <v>87260</v>
      </c>
      <c r="E9">
        <v>111833</v>
      </c>
      <c r="F9" s="23">
        <v>1338</v>
      </c>
      <c r="G9">
        <v>62378</v>
      </c>
      <c r="H9" s="23">
        <v>169024</v>
      </c>
      <c r="I9" s="23" t="s">
        <v>121</v>
      </c>
      <c r="J9" s="20">
        <f>(D8-D9)/D8</f>
        <v>1.8644979010100317E-3</v>
      </c>
      <c r="K9" s="20">
        <f t="shared" ref="K9" si="3">(E8-E9)/E8</f>
        <v>7.6753802197022129E-3</v>
      </c>
      <c r="L9" s="20">
        <f>(G8-G9)/G8</f>
        <v>3.6259084737640763E-3</v>
      </c>
      <c r="M9" s="20">
        <f>(H8-H9)/H8</f>
        <v>-5.5509413931994878E-2</v>
      </c>
      <c r="N9" s="20">
        <f>(F8-F9)/F8</f>
        <v>8.1541882876204601E-3</v>
      </c>
    </row>
    <row r="10" spans="2:14" x14ac:dyDescent="0.2">
      <c r="B10" s="52" t="s">
        <v>20</v>
      </c>
      <c r="C10" s="4" t="s">
        <v>17</v>
      </c>
      <c r="D10" s="24">
        <v>124627</v>
      </c>
      <c r="E10" s="25">
        <v>173628</v>
      </c>
      <c r="F10" s="26">
        <v>3891</v>
      </c>
      <c r="G10" s="25">
        <v>93235</v>
      </c>
      <c r="H10" s="26">
        <v>205156</v>
      </c>
      <c r="I10" s="26" t="s">
        <v>122</v>
      </c>
      <c r="J10" s="11">
        <f>(D12-D10)/D12</f>
        <v>-8.8069354616760707E-3</v>
      </c>
      <c r="K10" s="11">
        <f t="shared" ref="K10" si="4">(E12-E10)/E12</f>
        <v>-0.29447550883471257</v>
      </c>
      <c r="L10" s="11">
        <f>(G12-G10)/G12</f>
        <v>-8.8293532715134331E-3</v>
      </c>
      <c r="M10" s="11">
        <f>(H12-H10)/H12</f>
        <v>-2.4284297294524062E-3</v>
      </c>
      <c r="N10" s="35">
        <f>(F10-F12)/F12</f>
        <v>1.3397474443776307</v>
      </c>
    </row>
    <row r="11" spans="2:14" x14ac:dyDescent="0.2">
      <c r="B11" s="54"/>
      <c r="C11" s="7" t="s">
        <v>18</v>
      </c>
      <c r="D11" s="8">
        <v>121638</v>
      </c>
      <c r="E11">
        <v>169038</v>
      </c>
      <c r="F11" s="23">
        <v>2125</v>
      </c>
      <c r="G11">
        <v>91679</v>
      </c>
      <c r="H11" s="23">
        <v>201444</v>
      </c>
      <c r="I11" s="23" t="s">
        <v>123</v>
      </c>
      <c r="J11" s="13">
        <f>(D12-D11)/D12</f>
        <v>1.5387853228535118E-2</v>
      </c>
      <c r="K11" s="13">
        <f t="shared" ref="K11" si="5">(E12-E11)/E12</f>
        <v>-0.26025497651532098</v>
      </c>
      <c r="L11" s="13">
        <f>(G12-G11)/G12</f>
        <v>8.0070115452450259E-3</v>
      </c>
      <c r="M11" s="13">
        <f>(H12-H11)/H12</f>
        <v>1.570905750541144E-2</v>
      </c>
      <c r="N11" s="13">
        <f>(F11-F12)/F12</f>
        <v>0.27781118460613352</v>
      </c>
    </row>
    <row r="12" spans="2:14" x14ac:dyDescent="0.2">
      <c r="B12" s="54"/>
      <c r="C12" s="7" t="s">
        <v>19</v>
      </c>
      <c r="D12" s="8">
        <v>123539</v>
      </c>
      <c r="E12">
        <v>134130</v>
      </c>
      <c r="F12" s="23">
        <v>1663</v>
      </c>
      <c r="G12">
        <v>92419</v>
      </c>
      <c r="H12" s="23">
        <v>204659</v>
      </c>
      <c r="I12" s="23" t="s">
        <v>124</v>
      </c>
      <c r="J12" s="13">
        <f>(D12-D12)/D12</f>
        <v>0</v>
      </c>
      <c r="K12" s="13">
        <f t="shared" ref="K12" si="6">(E12-E12)/E12</f>
        <v>0</v>
      </c>
      <c r="L12" s="13">
        <f>(G12-G12)/G12</f>
        <v>0</v>
      </c>
      <c r="M12" s="13">
        <f>(H12-H12)/H12</f>
        <v>0</v>
      </c>
      <c r="N12" s="13">
        <f>(F12-F12)/F12</f>
        <v>0</v>
      </c>
    </row>
    <row r="13" spans="2:14" x14ac:dyDescent="0.2">
      <c r="B13" s="53"/>
      <c r="C13" s="15" t="s">
        <v>131</v>
      </c>
      <c r="D13" s="10">
        <v>122807</v>
      </c>
      <c r="E13" s="27">
        <v>132995</v>
      </c>
      <c r="F13" s="28">
        <v>1917</v>
      </c>
      <c r="G13" s="27">
        <v>91496</v>
      </c>
      <c r="H13" s="28">
        <v>213967</v>
      </c>
      <c r="I13" s="28" t="s">
        <v>125</v>
      </c>
      <c r="J13" s="20">
        <f>(D12-D13)/D12</f>
        <v>5.9252543731129438E-3</v>
      </c>
      <c r="K13" s="20">
        <f t="shared" ref="K13" si="7">(E12-E13)/E12</f>
        <v>8.4619399090434654E-3</v>
      </c>
      <c r="L13" s="20">
        <f>(G12-G13)/G12</f>
        <v>9.9871238598123763E-3</v>
      </c>
      <c r="M13" s="20">
        <f>(H12-H13)/H12</f>
        <v>-4.5480531029663977E-2</v>
      </c>
      <c r="N13" s="20">
        <f>(F12-F13)/F12</f>
        <v>-0.15273601924233313</v>
      </c>
    </row>
    <row r="14" spans="2:14" x14ac:dyDescent="0.2">
      <c r="B14" s="52" t="s">
        <v>21</v>
      </c>
      <c r="C14" s="4" t="s">
        <v>17</v>
      </c>
      <c r="D14" s="8">
        <v>230767</v>
      </c>
      <c r="E14">
        <v>429418</v>
      </c>
      <c r="F14" s="23">
        <v>5885</v>
      </c>
      <c r="G14">
        <v>154668</v>
      </c>
      <c r="H14" s="23">
        <v>459373</v>
      </c>
      <c r="I14" s="23" t="s">
        <v>126</v>
      </c>
      <c r="J14" s="11">
        <f>(D16-D14)/D16</f>
        <v>-7.6765541965599605E-3</v>
      </c>
      <c r="K14" s="11">
        <f t="shared" ref="K14" si="8">(E16-E14)/E16</f>
        <v>-0.34108469028925492</v>
      </c>
      <c r="L14" s="11">
        <f>(G16-G14)/G16</f>
        <v>-9.6217867540504196E-3</v>
      </c>
      <c r="M14" s="11">
        <f>(H16-H14)/H16</f>
        <v>-4.1752010545115124E-3</v>
      </c>
      <c r="N14" s="35">
        <f>(F14-F16)/F16</f>
        <v>0.53455019556714467</v>
      </c>
    </row>
    <row r="15" spans="2:14" x14ac:dyDescent="0.2">
      <c r="B15" s="54"/>
      <c r="C15" s="7" t="s">
        <v>18</v>
      </c>
      <c r="D15" s="8">
        <v>221678</v>
      </c>
      <c r="E15">
        <v>414580</v>
      </c>
      <c r="F15" s="23">
        <v>5000</v>
      </c>
      <c r="G15">
        <v>153392</v>
      </c>
      <c r="H15" s="23">
        <v>462388</v>
      </c>
      <c r="I15" s="23" t="s">
        <v>127</v>
      </c>
      <c r="J15" s="13">
        <f>(D16-D15)/D16</f>
        <v>3.2011842329340769E-2</v>
      </c>
      <c r="K15" s="13">
        <f t="shared" ref="K15" si="9">(E16-E15)/E16</f>
        <v>-0.29474519209748845</v>
      </c>
      <c r="L15" s="13">
        <f>(G16-G15)/G16</f>
        <v>-1.2924788177082654E-3</v>
      </c>
      <c r="M15" s="13">
        <f>(H16-H15)/H16</f>
        <v>-1.0765898007051937E-2</v>
      </c>
      <c r="N15" s="13">
        <f>(F15-F16)/F16</f>
        <v>0.30378096479791394</v>
      </c>
    </row>
    <row r="16" spans="2:14" x14ac:dyDescent="0.2">
      <c r="B16" s="54"/>
      <c r="C16" s="7" t="s">
        <v>19</v>
      </c>
      <c r="D16" s="8">
        <v>229009</v>
      </c>
      <c r="E16">
        <v>320202</v>
      </c>
      <c r="F16" s="23">
        <v>3835</v>
      </c>
      <c r="G16">
        <v>153194</v>
      </c>
      <c r="H16" s="23">
        <v>457463</v>
      </c>
      <c r="I16" s="23" t="s">
        <v>128</v>
      </c>
      <c r="J16" s="13">
        <f>(D16-D16)/D16</f>
        <v>0</v>
      </c>
      <c r="K16" s="13">
        <f t="shared" ref="K16" si="10">(E16-E16)/E16</f>
        <v>0</v>
      </c>
      <c r="L16" s="13">
        <f>(G16-G16)/G16</f>
        <v>0</v>
      </c>
      <c r="M16" s="13">
        <f>(H16-H16)/H16</f>
        <v>0</v>
      </c>
      <c r="N16" s="13">
        <f>(F16-F16)/F16</f>
        <v>0</v>
      </c>
    </row>
    <row r="17" spans="2:14" x14ac:dyDescent="0.2">
      <c r="B17" s="53"/>
      <c r="C17" s="15" t="s">
        <v>131</v>
      </c>
      <c r="D17" s="10">
        <v>228689</v>
      </c>
      <c r="E17" s="27">
        <v>318133</v>
      </c>
      <c r="F17" s="28">
        <v>6797</v>
      </c>
      <c r="G17" s="27">
        <v>151573</v>
      </c>
      <c r="H17" s="28">
        <v>474597</v>
      </c>
      <c r="I17" s="28" t="s">
        <v>129</v>
      </c>
      <c r="J17" s="20">
        <f>(D16-D17)/D16</f>
        <v>1.3973249959608575E-3</v>
      </c>
      <c r="K17" s="20">
        <f t="shared" ref="K17" si="11">(E16-E17)/E16</f>
        <v>6.4615461489934481E-3</v>
      </c>
      <c r="L17" s="20">
        <f>(G16-G17)/G16</f>
        <v>1.0581354361136859E-2</v>
      </c>
      <c r="M17" s="20">
        <f>(H16-H17)/H16</f>
        <v>-3.7454395218848302E-2</v>
      </c>
      <c r="N17" s="20">
        <f>(F16-F17)/F16</f>
        <v>-0.77235984354628417</v>
      </c>
    </row>
  </sheetData>
  <mergeCells count="17">
    <mergeCell ref="B6:B9"/>
    <mergeCell ref="B10:B13"/>
    <mergeCell ref="B14:B17"/>
    <mergeCell ref="M2:M3"/>
    <mergeCell ref="D4:D5"/>
    <mergeCell ref="E4:E5"/>
    <mergeCell ref="F4:F5"/>
    <mergeCell ref="G4:G5"/>
    <mergeCell ref="H4:H5"/>
    <mergeCell ref="I4:I5"/>
    <mergeCell ref="J4:J5"/>
    <mergeCell ref="D2:F3"/>
    <mergeCell ref="G2:H3"/>
    <mergeCell ref="I2:I3"/>
    <mergeCell ref="J2:J3"/>
    <mergeCell ref="K2:K3"/>
    <mergeCell ref="L2:L3"/>
  </mergeCells>
  <conditionalFormatting sqref="J6:N17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fr_aes</vt:lpstr>
      <vt:lpstr>fr_ibex</vt:lpstr>
      <vt:lpstr>fr_jpeg</vt:lpstr>
      <vt:lpstr>cugr_aes</vt:lpstr>
      <vt:lpstr>cugr_ibex</vt:lpstr>
      <vt:lpstr>cugr_jpeg</vt:lpstr>
      <vt:lpstr>spr_aes</vt:lpstr>
      <vt:lpstr>spr_ibex</vt:lpstr>
      <vt:lpstr>spr_jpeg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Taizun Jafri (Student)</dc:creator>
  <cp:lastModifiedBy>Taizun Jafri</cp:lastModifiedBy>
  <dcterms:created xsi:type="dcterms:W3CDTF">2026-03-04T23:31:37Z</dcterms:created>
  <dcterms:modified xsi:type="dcterms:W3CDTF">2026-06-15T17:50:45Z</dcterms:modified>
</cp:coreProperties>
</file>