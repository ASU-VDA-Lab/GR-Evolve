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aizunj/Documents/Masters_2024/ASU/Student_Docs/RESEARCH/GR-Evolve/sheets/"/>
    </mc:Choice>
  </mc:AlternateContent>
  <xr:revisionPtr revIDLastSave="0" documentId="13_ncr:1_{52B5BB72-B207-D547-A4A8-756C7070F230}" xr6:coauthVersionLast="47" xr6:coauthVersionMax="47" xr10:uidLastSave="{00000000-0000-0000-0000-000000000000}"/>
  <bookViews>
    <workbookView xWindow="0" yWindow="620" windowWidth="68800" windowHeight="26500" activeTab="8" xr2:uid="{FFC973C6-569C-0349-9307-D1049950C395}"/>
  </bookViews>
  <sheets>
    <sheet name="fr_aes" sheetId="1" r:id="rId1"/>
    <sheet name="fr_ibex" sheetId="7" r:id="rId2"/>
    <sheet name="fr_jpeg" sheetId="8" r:id="rId3"/>
    <sheet name="cugr_aes" sheetId="9" r:id="rId4"/>
    <sheet name="cugr_ibex" sheetId="10" r:id="rId5"/>
    <sheet name="cugr_jpeg" sheetId="11" r:id="rId6"/>
    <sheet name="spr_aes" sheetId="12" r:id="rId7"/>
    <sheet name="spr_ibex" sheetId="13" r:id="rId8"/>
    <sheet name="spr_jpeg" sheetId="14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7" i="14" l="1"/>
  <c r="M17" i="14"/>
  <c r="L17" i="14"/>
  <c r="K17" i="14"/>
  <c r="J17" i="14"/>
  <c r="N16" i="14"/>
  <c r="M16" i="14"/>
  <c r="L16" i="14"/>
  <c r="K16" i="14"/>
  <c r="J16" i="14"/>
  <c r="N15" i="14"/>
  <c r="M15" i="14"/>
  <c r="L15" i="14"/>
  <c r="K15" i="14"/>
  <c r="J15" i="14"/>
  <c r="N14" i="14"/>
  <c r="M14" i="14"/>
  <c r="L14" i="14"/>
  <c r="K14" i="14"/>
  <c r="J14" i="14"/>
  <c r="N13" i="14"/>
  <c r="M13" i="14"/>
  <c r="L13" i="14"/>
  <c r="K13" i="14"/>
  <c r="J13" i="14"/>
  <c r="N12" i="14"/>
  <c r="M12" i="14"/>
  <c r="L12" i="14"/>
  <c r="K12" i="14"/>
  <c r="J12" i="14"/>
  <c r="N11" i="14"/>
  <c r="M11" i="14"/>
  <c r="L11" i="14"/>
  <c r="K11" i="14"/>
  <c r="J11" i="14"/>
  <c r="N10" i="14"/>
  <c r="M10" i="14"/>
  <c r="L10" i="14"/>
  <c r="K10" i="14"/>
  <c r="J10" i="14"/>
  <c r="N9" i="14"/>
  <c r="M9" i="14"/>
  <c r="L9" i="14"/>
  <c r="K9" i="14"/>
  <c r="J9" i="14"/>
  <c r="N8" i="14"/>
  <c r="M8" i="14"/>
  <c r="L8" i="14"/>
  <c r="K8" i="14"/>
  <c r="J8" i="14"/>
  <c r="N7" i="14"/>
  <c r="M7" i="14"/>
  <c r="L7" i="14"/>
  <c r="K7" i="14"/>
  <c r="J7" i="14"/>
  <c r="N6" i="14"/>
  <c r="M6" i="14"/>
  <c r="L6" i="14"/>
  <c r="K6" i="14"/>
  <c r="J6" i="14"/>
  <c r="N17" i="13"/>
  <c r="M17" i="13"/>
  <c r="L17" i="13"/>
  <c r="K17" i="13"/>
  <c r="J17" i="13"/>
  <c r="N16" i="13"/>
  <c r="M16" i="13"/>
  <c r="L16" i="13"/>
  <c r="K16" i="13"/>
  <c r="J16" i="13"/>
  <c r="N15" i="13"/>
  <c r="M15" i="13"/>
  <c r="L15" i="13"/>
  <c r="K15" i="13"/>
  <c r="J15" i="13"/>
  <c r="N14" i="13"/>
  <c r="M14" i="13"/>
  <c r="L14" i="13"/>
  <c r="K14" i="13"/>
  <c r="J14" i="13"/>
  <c r="N13" i="13"/>
  <c r="M13" i="13"/>
  <c r="L13" i="13"/>
  <c r="K13" i="13"/>
  <c r="J13" i="13"/>
  <c r="N12" i="13"/>
  <c r="M12" i="13"/>
  <c r="L12" i="13"/>
  <c r="K12" i="13"/>
  <c r="J12" i="13"/>
  <c r="N11" i="13"/>
  <c r="M11" i="13"/>
  <c r="L11" i="13"/>
  <c r="K11" i="13"/>
  <c r="J11" i="13"/>
  <c r="N10" i="13"/>
  <c r="M10" i="13"/>
  <c r="L10" i="13"/>
  <c r="K10" i="13"/>
  <c r="J10" i="13"/>
  <c r="N9" i="13"/>
  <c r="M9" i="13"/>
  <c r="L9" i="13"/>
  <c r="K9" i="13"/>
  <c r="J9" i="13"/>
  <c r="N8" i="13"/>
  <c r="M8" i="13"/>
  <c r="L8" i="13"/>
  <c r="K8" i="13"/>
  <c r="J8" i="13"/>
  <c r="N7" i="13"/>
  <c r="M7" i="13"/>
  <c r="L7" i="13"/>
  <c r="K7" i="13"/>
  <c r="J7" i="13"/>
  <c r="N6" i="13"/>
  <c r="M6" i="13"/>
  <c r="L6" i="13"/>
  <c r="K6" i="13"/>
  <c r="J6" i="13"/>
  <c r="N17" i="12"/>
  <c r="M17" i="12"/>
  <c r="L17" i="12"/>
  <c r="K17" i="12"/>
  <c r="J17" i="12"/>
  <c r="N16" i="12"/>
  <c r="M16" i="12"/>
  <c r="L16" i="12"/>
  <c r="K16" i="12"/>
  <c r="J16" i="12"/>
  <c r="N15" i="12"/>
  <c r="M15" i="12"/>
  <c r="L15" i="12"/>
  <c r="K15" i="12"/>
  <c r="J15" i="12"/>
  <c r="N14" i="12"/>
  <c r="M14" i="12"/>
  <c r="L14" i="12"/>
  <c r="K14" i="12"/>
  <c r="J14" i="12"/>
  <c r="N13" i="12"/>
  <c r="M13" i="12"/>
  <c r="L13" i="12"/>
  <c r="K13" i="12"/>
  <c r="J13" i="12"/>
  <c r="N12" i="12"/>
  <c r="M12" i="12"/>
  <c r="L12" i="12"/>
  <c r="K12" i="12"/>
  <c r="J12" i="12"/>
  <c r="N11" i="12"/>
  <c r="M11" i="12"/>
  <c r="L11" i="12"/>
  <c r="K11" i="12"/>
  <c r="J11" i="12"/>
  <c r="N10" i="12"/>
  <c r="M10" i="12"/>
  <c r="L10" i="12"/>
  <c r="K10" i="12"/>
  <c r="J10" i="12"/>
  <c r="N9" i="12"/>
  <c r="M9" i="12"/>
  <c r="L9" i="12"/>
  <c r="K9" i="12"/>
  <c r="J9" i="12"/>
  <c r="N8" i="12"/>
  <c r="M8" i="12"/>
  <c r="L8" i="12"/>
  <c r="K8" i="12"/>
  <c r="J8" i="12"/>
  <c r="N7" i="12"/>
  <c r="M7" i="12"/>
  <c r="L7" i="12"/>
  <c r="K7" i="12"/>
  <c r="J7" i="12"/>
  <c r="N6" i="12"/>
  <c r="M6" i="12"/>
  <c r="L6" i="12"/>
  <c r="K6" i="12"/>
  <c r="J6" i="12"/>
  <c r="N17" i="11"/>
  <c r="M17" i="11"/>
  <c r="L17" i="11"/>
  <c r="K17" i="11"/>
  <c r="J17" i="11"/>
  <c r="N16" i="11"/>
  <c r="M16" i="11"/>
  <c r="L16" i="11"/>
  <c r="K16" i="11"/>
  <c r="J16" i="11"/>
  <c r="N15" i="11"/>
  <c r="M15" i="11"/>
  <c r="L15" i="11"/>
  <c r="K15" i="11"/>
  <c r="J15" i="11"/>
  <c r="N14" i="11"/>
  <c r="M14" i="11"/>
  <c r="L14" i="11"/>
  <c r="K14" i="11"/>
  <c r="J14" i="11"/>
  <c r="N13" i="11"/>
  <c r="M13" i="11"/>
  <c r="L13" i="11"/>
  <c r="K13" i="11"/>
  <c r="J13" i="11"/>
  <c r="N12" i="11"/>
  <c r="M12" i="11"/>
  <c r="L12" i="11"/>
  <c r="K12" i="11"/>
  <c r="J12" i="11"/>
  <c r="N11" i="11"/>
  <c r="M11" i="11"/>
  <c r="L11" i="11"/>
  <c r="K11" i="11"/>
  <c r="J11" i="11"/>
  <c r="N10" i="11"/>
  <c r="M10" i="11"/>
  <c r="L10" i="11"/>
  <c r="K10" i="11"/>
  <c r="J10" i="11"/>
  <c r="N9" i="11"/>
  <c r="M9" i="11"/>
  <c r="L9" i="11"/>
  <c r="K9" i="11"/>
  <c r="J9" i="11"/>
  <c r="N8" i="11"/>
  <c r="M8" i="11"/>
  <c r="L8" i="11"/>
  <c r="K8" i="11"/>
  <c r="J8" i="11"/>
  <c r="N7" i="11"/>
  <c r="M7" i="11"/>
  <c r="L7" i="11"/>
  <c r="K7" i="11"/>
  <c r="J7" i="11"/>
  <c r="N6" i="11"/>
  <c r="M6" i="11"/>
  <c r="L6" i="11"/>
  <c r="K6" i="11"/>
  <c r="J6" i="11"/>
  <c r="N17" i="10"/>
  <c r="M17" i="10"/>
  <c r="L17" i="10"/>
  <c r="K17" i="10"/>
  <c r="J17" i="10"/>
  <c r="N16" i="10"/>
  <c r="M16" i="10"/>
  <c r="L16" i="10"/>
  <c r="K16" i="10"/>
  <c r="J16" i="10"/>
  <c r="N15" i="10"/>
  <c r="M15" i="10"/>
  <c r="L15" i="10"/>
  <c r="K15" i="10"/>
  <c r="J15" i="10"/>
  <c r="N14" i="10"/>
  <c r="M14" i="10"/>
  <c r="L14" i="10"/>
  <c r="K14" i="10"/>
  <c r="J14" i="10"/>
  <c r="N13" i="10"/>
  <c r="M13" i="10"/>
  <c r="L13" i="10"/>
  <c r="K13" i="10"/>
  <c r="J13" i="10"/>
  <c r="N12" i="10"/>
  <c r="M12" i="10"/>
  <c r="L12" i="10"/>
  <c r="K12" i="10"/>
  <c r="J12" i="10"/>
  <c r="N11" i="10"/>
  <c r="M11" i="10"/>
  <c r="L11" i="10"/>
  <c r="K11" i="10"/>
  <c r="J11" i="10"/>
  <c r="N10" i="10"/>
  <c r="M10" i="10"/>
  <c r="L10" i="10"/>
  <c r="K10" i="10"/>
  <c r="J10" i="10"/>
  <c r="N9" i="10"/>
  <c r="M9" i="10"/>
  <c r="L9" i="10"/>
  <c r="K9" i="10"/>
  <c r="J9" i="10"/>
  <c r="N8" i="10"/>
  <c r="M8" i="10"/>
  <c r="L8" i="10"/>
  <c r="K8" i="10"/>
  <c r="J8" i="10"/>
  <c r="N7" i="10"/>
  <c r="M7" i="10"/>
  <c r="L7" i="10"/>
  <c r="K7" i="10"/>
  <c r="J7" i="10"/>
  <c r="N6" i="10"/>
  <c r="M6" i="10"/>
  <c r="L6" i="10"/>
  <c r="K6" i="10"/>
  <c r="J6" i="10"/>
  <c r="N17" i="9"/>
  <c r="M17" i="9"/>
  <c r="L17" i="9"/>
  <c r="K17" i="9"/>
  <c r="J17" i="9"/>
  <c r="N16" i="9"/>
  <c r="M16" i="9"/>
  <c r="L16" i="9"/>
  <c r="K16" i="9"/>
  <c r="J16" i="9"/>
  <c r="N15" i="9"/>
  <c r="M15" i="9"/>
  <c r="L15" i="9"/>
  <c r="K15" i="9"/>
  <c r="J15" i="9"/>
  <c r="N14" i="9"/>
  <c r="M14" i="9"/>
  <c r="L14" i="9"/>
  <c r="K14" i="9"/>
  <c r="J14" i="9"/>
  <c r="N13" i="9"/>
  <c r="M13" i="9"/>
  <c r="L13" i="9"/>
  <c r="K13" i="9"/>
  <c r="J13" i="9"/>
  <c r="N12" i="9"/>
  <c r="M12" i="9"/>
  <c r="L12" i="9"/>
  <c r="K12" i="9"/>
  <c r="J12" i="9"/>
  <c r="N11" i="9"/>
  <c r="M11" i="9"/>
  <c r="L11" i="9"/>
  <c r="K11" i="9"/>
  <c r="J11" i="9"/>
  <c r="N10" i="9"/>
  <c r="M10" i="9"/>
  <c r="L10" i="9"/>
  <c r="K10" i="9"/>
  <c r="J10" i="9"/>
  <c r="N9" i="9"/>
  <c r="M9" i="9"/>
  <c r="L9" i="9"/>
  <c r="K9" i="9"/>
  <c r="J9" i="9"/>
  <c r="N8" i="9"/>
  <c r="M8" i="9"/>
  <c r="L8" i="9"/>
  <c r="K8" i="9"/>
  <c r="J8" i="9"/>
  <c r="N7" i="9"/>
  <c r="M7" i="9"/>
  <c r="L7" i="9"/>
  <c r="K7" i="9"/>
  <c r="J7" i="9"/>
  <c r="N6" i="9"/>
  <c r="M6" i="9"/>
  <c r="L6" i="9"/>
  <c r="K6" i="9"/>
  <c r="J6" i="9"/>
  <c r="N17" i="8"/>
  <c r="M17" i="8"/>
  <c r="L17" i="8"/>
  <c r="K17" i="8"/>
  <c r="J17" i="8"/>
  <c r="N16" i="8"/>
  <c r="M16" i="8"/>
  <c r="L16" i="8"/>
  <c r="K16" i="8"/>
  <c r="J16" i="8"/>
  <c r="N15" i="8"/>
  <c r="M15" i="8"/>
  <c r="L15" i="8"/>
  <c r="K15" i="8"/>
  <c r="J15" i="8"/>
  <c r="N14" i="8"/>
  <c r="M14" i="8"/>
  <c r="L14" i="8"/>
  <c r="K14" i="8"/>
  <c r="J14" i="8"/>
  <c r="N13" i="8"/>
  <c r="M13" i="8"/>
  <c r="L13" i="8"/>
  <c r="K13" i="8"/>
  <c r="J13" i="8"/>
  <c r="N12" i="8"/>
  <c r="M12" i="8"/>
  <c r="L12" i="8"/>
  <c r="K12" i="8"/>
  <c r="J12" i="8"/>
  <c r="N11" i="8"/>
  <c r="M11" i="8"/>
  <c r="L11" i="8"/>
  <c r="K11" i="8"/>
  <c r="J11" i="8"/>
  <c r="N10" i="8"/>
  <c r="M10" i="8"/>
  <c r="L10" i="8"/>
  <c r="K10" i="8"/>
  <c r="J10" i="8"/>
  <c r="N9" i="8"/>
  <c r="M9" i="8"/>
  <c r="L9" i="8"/>
  <c r="K9" i="8"/>
  <c r="J9" i="8"/>
  <c r="N8" i="8"/>
  <c r="M8" i="8"/>
  <c r="L8" i="8"/>
  <c r="K8" i="8"/>
  <c r="J8" i="8"/>
  <c r="N7" i="8"/>
  <c r="M7" i="8"/>
  <c r="L7" i="8"/>
  <c r="K7" i="8"/>
  <c r="J7" i="8"/>
  <c r="N6" i="8"/>
  <c r="M6" i="8"/>
  <c r="L6" i="8"/>
  <c r="K6" i="8"/>
  <c r="J6" i="8"/>
  <c r="N17" i="7"/>
  <c r="M17" i="7"/>
  <c r="L17" i="7"/>
  <c r="K17" i="7"/>
  <c r="J17" i="7"/>
  <c r="N16" i="7"/>
  <c r="M16" i="7"/>
  <c r="L16" i="7"/>
  <c r="K16" i="7"/>
  <c r="J16" i="7"/>
  <c r="N15" i="7"/>
  <c r="M15" i="7"/>
  <c r="L15" i="7"/>
  <c r="K15" i="7"/>
  <c r="J15" i="7"/>
  <c r="N14" i="7"/>
  <c r="M14" i="7"/>
  <c r="L14" i="7"/>
  <c r="K14" i="7"/>
  <c r="J14" i="7"/>
  <c r="N13" i="7"/>
  <c r="M13" i="7"/>
  <c r="L13" i="7"/>
  <c r="K13" i="7"/>
  <c r="J13" i="7"/>
  <c r="N12" i="7"/>
  <c r="M12" i="7"/>
  <c r="L12" i="7"/>
  <c r="K12" i="7"/>
  <c r="J12" i="7"/>
  <c r="N11" i="7"/>
  <c r="M11" i="7"/>
  <c r="L11" i="7"/>
  <c r="K11" i="7"/>
  <c r="J11" i="7"/>
  <c r="N10" i="7"/>
  <c r="M10" i="7"/>
  <c r="L10" i="7"/>
  <c r="K10" i="7"/>
  <c r="J10" i="7"/>
  <c r="N9" i="7"/>
  <c r="M9" i="7"/>
  <c r="L9" i="7"/>
  <c r="K9" i="7"/>
  <c r="J9" i="7"/>
  <c r="N8" i="7"/>
  <c r="M8" i="7"/>
  <c r="L8" i="7"/>
  <c r="K8" i="7"/>
  <c r="J8" i="7"/>
  <c r="N7" i="7"/>
  <c r="M7" i="7"/>
  <c r="L7" i="7"/>
  <c r="K7" i="7"/>
  <c r="J7" i="7"/>
  <c r="N6" i="7"/>
  <c r="M6" i="7"/>
  <c r="L6" i="7"/>
  <c r="K6" i="7"/>
  <c r="J6" i="7"/>
  <c r="N17" i="1"/>
  <c r="M17" i="1"/>
  <c r="L17" i="1"/>
  <c r="K17" i="1"/>
  <c r="J17" i="1"/>
  <c r="N16" i="1"/>
  <c r="M16" i="1"/>
  <c r="L16" i="1"/>
  <c r="K16" i="1"/>
  <c r="J16" i="1"/>
  <c r="N15" i="1"/>
  <c r="M15" i="1"/>
  <c r="L15" i="1"/>
  <c r="K15" i="1"/>
  <c r="J15" i="1"/>
  <c r="N14" i="1"/>
  <c r="M14" i="1"/>
  <c r="L14" i="1"/>
  <c r="K14" i="1"/>
  <c r="J14" i="1"/>
  <c r="N13" i="1"/>
  <c r="M13" i="1"/>
  <c r="L13" i="1"/>
  <c r="K13" i="1"/>
  <c r="J13" i="1"/>
  <c r="N12" i="1"/>
  <c r="M12" i="1"/>
  <c r="L12" i="1"/>
  <c r="K12" i="1"/>
  <c r="J12" i="1"/>
  <c r="N11" i="1"/>
  <c r="M11" i="1"/>
  <c r="L11" i="1"/>
  <c r="K11" i="1"/>
  <c r="J11" i="1"/>
  <c r="N10" i="1"/>
  <c r="M10" i="1"/>
  <c r="L10" i="1"/>
  <c r="K10" i="1"/>
  <c r="J10" i="1"/>
  <c r="N9" i="1"/>
  <c r="M9" i="1"/>
  <c r="L9" i="1"/>
  <c r="K9" i="1"/>
  <c r="J9" i="1"/>
  <c r="N8" i="1"/>
  <c r="M8" i="1"/>
  <c r="L8" i="1"/>
  <c r="K8" i="1"/>
  <c r="J8" i="1"/>
  <c r="N7" i="1"/>
  <c r="M7" i="1"/>
  <c r="L7" i="1"/>
  <c r="K7" i="1"/>
  <c r="J7" i="1"/>
  <c r="N6" i="1"/>
  <c r="M6" i="1"/>
  <c r="L6" i="1"/>
  <c r="K6" i="1"/>
  <c r="J6" i="1"/>
</calcChain>
</file>

<file path=xl/sharedStrings.xml><?xml version="1.0" encoding="utf-8"?>
<sst xmlns="http://schemas.openxmlformats.org/spreadsheetml/2006/main" count="390" uniqueCount="125">
  <si>
    <t>[ GR Metrics ]</t>
  </si>
  <si>
    <t>[ DR Metrics ]</t>
  </si>
  <si>
    <t>[ DR Runtime ]</t>
  </si>
  <si>
    <t>[ GR Wirelength % improvement]</t>
  </si>
  <si>
    <t>[ GR via count % improvement ]</t>
  </si>
  <si>
    <t>[ DR wirelength % improvement ]</t>
  </si>
  <si>
    <t>[ DR via count % improvement ]</t>
  </si>
  <si>
    <t>Runtime Improvement</t>
  </si>
  <si>
    <t>vs. FastRoute</t>
  </si>
  <si>
    <t xml:space="preserve">Design </t>
  </si>
  <si>
    <t xml:space="preserve">METRICS </t>
  </si>
  <si>
    <t>Wirelength(um)</t>
  </si>
  <si>
    <t xml:space="preserve">Via Count </t>
  </si>
  <si>
    <t xml:space="preserve">Runtime(ms) </t>
  </si>
  <si>
    <t>Wirelenght(um)</t>
  </si>
  <si>
    <t>[hh]:mm.ss</t>
  </si>
  <si>
    <t>AES</t>
  </si>
  <si>
    <t>FastRoute</t>
  </si>
  <si>
    <t>CUGR</t>
  </si>
  <si>
    <t>ibex</t>
  </si>
  <si>
    <t>Jpeg</t>
  </si>
  <si>
    <t>SPRoute2</t>
  </si>
  <si>
    <t>NEWGR</t>
  </si>
  <si>
    <t>2:34.46</t>
  </si>
  <si>
    <t>3:14.17</t>
  </si>
  <si>
    <t>2:48.67</t>
  </si>
  <si>
    <t>3:10.20</t>
  </si>
  <si>
    <t>2:49.90</t>
  </si>
  <si>
    <t>2:52.87</t>
  </si>
  <si>
    <t>2:36.33</t>
  </si>
  <si>
    <t>2:22.21</t>
  </si>
  <si>
    <t>10:16.12</t>
  </si>
  <si>
    <t>9:33.80</t>
  </si>
  <si>
    <t>5:26.02</t>
  </si>
  <si>
    <t>3:51.35</t>
  </si>
  <si>
    <t>3:09.22</t>
  </si>
  <si>
    <t>3:14.14</t>
  </si>
  <si>
    <t>2:54.20</t>
  </si>
  <si>
    <t>2:27.62</t>
  </si>
  <si>
    <t>2:25.12</t>
  </si>
  <si>
    <t>3:05.82</t>
  </si>
  <si>
    <t>2:25.63</t>
  </si>
  <si>
    <t>2:34.06</t>
  </si>
  <si>
    <t>10:18.15</t>
  </si>
  <si>
    <t>9:14.23</t>
  </si>
  <si>
    <t>5:17.00</t>
  </si>
  <si>
    <t>3:47.99</t>
  </si>
  <si>
    <t>2:30.88</t>
  </si>
  <si>
    <t>2:50.10</t>
  </si>
  <si>
    <t>2:29.76</t>
  </si>
  <si>
    <t>3:40.73</t>
  </si>
  <si>
    <t>2:21.64</t>
  </si>
  <si>
    <t>3:01.84</t>
  </si>
  <si>
    <t>2:27.36</t>
  </si>
  <si>
    <t>2:39.59</t>
  </si>
  <si>
    <t>7:26.96</t>
  </si>
  <si>
    <t>9:36.09</t>
  </si>
  <si>
    <t>7:17.79</t>
  </si>
  <si>
    <t>5:09.58</t>
  </si>
  <si>
    <t>2:59.47</t>
  </si>
  <si>
    <t>3:22.43</t>
  </si>
  <si>
    <t>2:58.18</t>
  </si>
  <si>
    <t>2:56.33</t>
  </si>
  <si>
    <t>3:03.98</t>
  </si>
  <si>
    <t>2:36.45</t>
  </si>
  <si>
    <t>7:55.99</t>
  </si>
  <si>
    <t>7:30.13</t>
  </si>
  <si>
    <t>4:00.49</t>
  </si>
  <si>
    <t>2:58.62</t>
  </si>
  <si>
    <t>2:50.13</t>
  </si>
  <si>
    <t>2:04.75</t>
  </si>
  <si>
    <t>2:33.45</t>
  </si>
  <si>
    <t>2:50.34</t>
  </si>
  <si>
    <t>2:11.89</t>
  </si>
  <si>
    <t>5:52.48</t>
  </si>
  <si>
    <t>6:01.06</t>
  </si>
  <si>
    <t>6:44.27</t>
  </si>
  <si>
    <t>3:12.30</t>
  </si>
  <si>
    <t>3:11.13</t>
  </si>
  <si>
    <t>3:01.12</t>
  </si>
  <si>
    <t>3:55.41</t>
  </si>
  <si>
    <t>2:30.49</t>
  </si>
  <si>
    <t>2:43.01</t>
  </si>
  <si>
    <t>2:29.29</t>
  </si>
  <si>
    <t>2:22.80</t>
  </si>
  <si>
    <t>6:46.04</t>
  </si>
  <si>
    <t>8:24.36</t>
  </si>
  <si>
    <t>8:52.09</t>
  </si>
  <si>
    <t>5:48.78</t>
  </si>
  <si>
    <t>2:54.10</t>
  </si>
  <si>
    <t>2:56.27</t>
  </si>
  <si>
    <t>2:28.36</t>
  </si>
  <si>
    <t>2:44.48</t>
  </si>
  <si>
    <t>3:11.69</t>
  </si>
  <si>
    <t>2:41.37</t>
  </si>
  <si>
    <t>2:31.89</t>
  </si>
  <si>
    <t>2:47.06</t>
  </si>
  <si>
    <t>6:23.48</t>
  </si>
  <si>
    <t>8:44.96</t>
  </si>
  <si>
    <t>7:30.75</t>
  </si>
  <si>
    <t>3:10.17</t>
  </si>
  <si>
    <t>3:10.19</t>
  </si>
  <si>
    <t>2:45.66</t>
  </si>
  <si>
    <t>4:06.46</t>
  </si>
  <si>
    <t>2:24.49</t>
  </si>
  <si>
    <t>2:58.13</t>
  </si>
  <si>
    <t>2:31.84</t>
  </si>
  <si>
    <t>2:45.19</t>
  </si>
  <si>
    <t>5:02.24</t>
  </si>
  <si>
    <t>8:03.21</t>
  </si>
  <si>
    <t>7:09.94</t>
  </si>
  <si>
    <t>9:41.51</t>
  </si>
  <si>
    <t>3:18.74</t>
  </si>
  <si>
    <t>2:54.60</t>
  </si>
  <si>
    <t>1:49.37</t>
  </si>
  <si>
    <t>4:14.29</t>
  </si>
  <si>
    <t>2:26.59</t>
  </si>
  <si>
    <t>2:41.71</t>
  </si>
  <si>
    <t>2:26.05</t>
  </si>
  <si>
    <t>2:31.92</t>
  </si>
  <si>
    <t>4:46.09</t>
  </si>
  <si>
    <t>7:00.77</t>
  </si>
  <si>
    <t>6:56.22</t>
  </si>
  <si>
    <t>-</t>
  </si>
  <si>
    <t>vs. baseline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</si>
</sst>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%;[Red]\-0.00%"/>
  </numFmts>
  <fonts count="5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b/>
      <sz val="12"/>
      <color theme="1"/>
      <name val="Aptos Narrow"/>
      <scheme val="minor"/>
    </font>
    <font>
      <i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2">
    <xf numFmtId="0" fontId="0" fillId="0" borderId="0" xfId="0"/>
    <xf numFmtId="1" fontId="0" fillId="0" borderId="0" xfId="0" applyNumberFormat="1"/>
    <xf numFmtId="49" fontId="0" fillId="0" borderId="0" xfId="0" applyNumberFormat="1"/>
    <xf numFmtId="0" fontId="0" fillId="0" borderId="0" xfId="0" applyAlignment="1">
      <alignment vertical="center"/>
    </xf>
    <xf numFmtId="0" fontId="0" fillId="0" borderId="4" xfId="0" applyBorder="1"/>
    <xf numFmtId="0" fontId="0" fillId="0" borderId="8" xfId="0" applyBorder="1"/>
    <xf numFmtId="0" fontId="0" fillId="0" borderId="4" xfId="0" applyBorder="1" applyAlignment="1">
      <alignment vertical="center"/>
    </xf>
    <xf numFmtId="0" fontId="0" fillId="0" borderId="11" xfId="0" applyBorder="1"/>
    <xf numFmtId="0" fontId="0" fillId="0" borderId="9" xfId="0" applyBorder="1"/>
    <xf numFmtId="0" fontId="0" fillId="0" borderId="11" xfId="0" applyBorder="1" applyAlignment="1">
      <alignment vertical="center"/>
    </xf>
    <xf numFmtId="0" fontId="0" fillId="0" borderId="5" xfId="0" applyBorder="1"/>
    <xf numFmtId="164" fontId="0" fillId="0" borderId="4" xfId="1" applyNumberFormat="1" applyFont="1" applyBorder="1"/>
    <xf numFmtId="164" fontId="0" fillId="0" borderId="1" xfId="1" applyNumberFormat="1" applyFont="1" applyBorder="1"/>
    <xf numFmtId="164" fontId="0" fillId="0" borderId="11" xfId="1" applyNumberFormat="1" applyFont="1" applyBorder="1"/>
    <xf numFmtId="164" fontId="0" fillId="0" borderId="9" xfId="1" applyNumberFormat="1" applyFont="1" applyBorder="1"/>
    <xf numFmtId="164" fontId="0" fillId="0" borderId="8" xfId="1" applyNumberFormat="1" applyFont="1" applyBorder="1"/>
    <xf numFmtId="164" fontId="0" fillId="0" borderId="5" xfId="1" applyNumberFormat="1" applyFont="1" applyBorder="1"/>
    <xf numFmtId="164" fontId="2" fillId="0" borderId="11" xfId="1" applyNumberFormat="1" applyFont="1" applyBorder="1"/>
    <xf numFmtId="0" fontId="0" fillId="0" borderId="10" xfId="0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6" xfId="0" applyBorder="1"/>
    <xf numFmtId="0" fontId="0" fillId="0" borderId="7" xfId="0" applyBorder="1"/>
    <xf numFmtId="164" fontId="0" fillId="0" borderId="2" xfId="1" applyNumberFormat="1" applyFont="1" applyBorder="1"/>
    <xf numFmtId="164" fontId="0" fillId="0" borderId="0" xfId="1" applyNumberFormat="1" applyFont="1" applyBorder="1"/>
    <xf numFmtId="164" fontId="0" fillId="0" borderId="6" xfId="1" applyNumberFormat="1" applyFont="1" applyBorder="1"/>
    <xf numFmtId="164" fontId="0" fillId="0" borderId="3" xfId="1" applyNumberFormat="1" applyFont="1" applyBorder="1"/>
    <xf numFmtId="164" fontId="0" fillId="0" borderId="10" xfId="1" applyNumberFormat="1" applyFont="1" applyBorder="1"/>
    <xf numFmtId="164" fontId="0" fillId="0" borderId="7" xfId="1" applyNumberFormat="1" applyFont="1" applyBorder="1"/>
    <xf numFmtId="164" fontId="4" fillId="0" borderId="4" xfId="1" applyNumberFormat="1" applyFont="1" applyBorder="1"/>
    <xf numFmtId="164" fontId="2" fillId="0" borderId="4" xfId="1" applyNumberFormat="1" applyFont="1" applyBorder="1"/>
    <xf numFmtId="0" fontId="3" fillId="0" borderId="0" xfId="0" applyFont="1"/>
    <xf numFmtId="0" fontId="2" fillId="0" borderId="0" xfId="0" applyFont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6" xfId="0" applyFont="1" applyBorder="1"/>
    <xf numFmtId="47" fontId="2" fillId="0" borderId="0" xfId="0" applyNumberFormat="1" applyFont="1"/>
    <xf numFmtId="47" fontId="2" fillId="0" borderId="7" xfId="0" applyNumberFormat="1" applyFont="1" applyBorder="1"/>
    <xf numFmtId="47" fontId="2" fillId="0" borderId="11" xfId="0" applyNumberFormat="1" applyFont="1" applyBorder="1"/>
    <xf numFmtId="47" fontId="2" fillId="0" borderId="8" xfId="0" applyNumberFormat="1" applyFont="1" applyBorder="1"/>
    <xf numFmtId="0" fontId="0" fillId="0" borderId="4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" fontId="0" fillId="0" borderId="9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49" fontId="0" fillId="0" borderId="4" xfId="0" applyNumberFormat="1" applyBorder="1" applyAlignment="1">
      <alignment horizontal="center" vertical="center"/>
    </xf>
    <xf numFmtId="49" fontId="0" fillId="0" borderId="11" xfId="0" applyNumberFormat="1" applyBorder="1" applyAlignment="1">
      <alignment horizontal="center" vertical="center"/>
    </xf>
    <xf numFmtId="49" fontId="0" fillId="0" borderId="4" xfId="0" applyNumberFormat="1" applyBorder="1" applyAlignment="1">
      <alignment horizontal="center"/>
    </xf>
    <xf numFmtId="49" fontId="0" fillId="0" borderId="8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49" fontId="0" fillId="0" borderId="8" xfId="0" applyNumberForma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1" fontId="2" fillId="0" borderId="9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0" borderId="9" xfId="0" applyBorder="1" applyAlignment="1">
      <alignment horizontal="center" vertical="center"/>
    </xf>
    <xf numFmtId="49" fontId="0" fillId="0" borderId="3" xfId="0" applyNumberFormat="1" applyBorder="1" applyAlignment="1">
      <alignment horizontal="center" vertical="center"/>
    </xf>
    <xf numFmtId="49" fontId="0" fillId="0" borderId="10" xfId="0" applyNumberFormat="1" applyBorder="1" applyAlignment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/>
    </xf>
    <xf numFmtId="49" fontId="2" fillId="0" borderId="11" xfId="0" applyNumberFormat="1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9">
    <dxf>
      <font>
        <color theme="9" tint="-0.24994659260841701"/>
      </font>
    </dxf>
    <dxf>
      <font>
        <color theme="9" tint="-0.24994659260841701"/>
      </font>
    </dxf>
    <dxf>
      <font>
        <color theme="9" tint="-0.24994659260841701"/>
      </font>
    </dxf>
    <dxf>
      <font>
        <color theme="9" tint="-0.24994659260841701"/>
      </font>
    </dxf>
    <dxf>
      <font>
        <color theme="9" tint="-0.24994659260841701"/>
      </font>
    </dxf>
    <dxf>
      <font>
        <color theme="9" tint="-0.24994659260841701"/>
      </font>
    </dxf>
    <dxf>
      <font>
        <color theme="9" tint="-0.24994659260841701"/>
      </font>
    </dxf>
    <dxf>
      <font>
        <color theme="9" tint="-0.24994659260841701"/>
      </font>
    </dxf>
    <dxf>
      <font>
        <color theme="9" tint="-0.2499465926084170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8FCF8-DC98-7F42-893B-CC948892F637}">
  <dimension ref="A1:N39"/>
  <sheetViews>
    <sheetView zoomScale="120" zoomScaleNormal="120" workbookViewId="0">
      <selection activeCell="E10" sqref="E10"/>
    </sheetView>
  </sheetViews>
  <sheetFormatPr baseColWidth="10" defaultRowHeight="16" x14ac:dyDescent="0.2"/>
  <cols>
    <col min="2" max="2" width="11" bestFit="1" customWidth="1"/>
    <col min="3" max="3" width="10.5" bestFit="1" customWidth="1"/>
    <col min="4" max="4" width="13.83203125" bestFit="1" customWidth="1"/>
    <col min="5" max="5" width="10.5" bestFit="1" customWidth="1"/>
    <col min="6" max="6" width="12" bestFit="1" customWidth="1"/>
    <col min="7" max="7" width="13.83203125" bestFit="1" customWidth="1"/>
    <col min="8" max="8" width="10.5" bestFit="1" customWidth="1"/>
    <col min="9" max="9" width="12.5" bestFit="1" customWidth="1"/>
    <col min="10" max="10" width="27.5" bestFit="1" customWidth="1"/>
    <col min="11" max="11" width="26.1640625" bestFit="1" customWidth="1"/>
    <col min="12" max="12" width="27.5" bestFit="1" customWidth="1"/>
    <col min="13" max="13" width="26.1640625" bestFit="1" customWidth="1"/>
    <col min="14" max="14" width="19.1640625" bestFit="1" customWidth="1"/>
  </cols>
  <sheetData>
    <row r="1" spans="2:14" x14ac:dyDescent="0.2">
      <c r="D1" s="1"/>
      <c r="I1" s="2"/>
      <c r="J1" s="2"/>
    </row>
    <row r="2" spans="2:14" x14ac:dyDescent="0.2">
      <c r="B2" s="3"/>
      <c r="D2" s="64" t="s">
        <v>0</v>
      </c>
      <c r="E2" s="56"/>
      <c r="F2" s="58"/>
      <c r="G2" s="64" t="s">
        <v>1</v>
      </c>
      <c r="H2" s="56"/>
      <c r="I2" s="60" t="s">
        <v>2</v>
      </c>
      <c r="J2" s="49" t="s">
        <v>3</v>
      </c>
      <c r="K2" s="49" t="s">
        <v>4</v>
      </c>
      <c r="L2" s="49" t="s">
        <v>5</v>
      </c>
      <c r="M2" s="52" t="s">
        <v>6</v>
      </c>
      <c r="N2" s="4" t="s">
        <v>7</v>
      </c>
    </row>
    <row r="3" spans="2:14" x14ac:dyDescent="0.2">
      <c r="B3" s="3"/>
      <c r="D3" s="65"/>
      <c r="E3" s="66"/>
      <c r="F3" s="67"/>
      <c r="G3" s="65"/>
      <c r="H3" s="66"/>
      <c r="I3" s="68"/>
      <c r="J3" s="51"/>
      <c r="K3" s="51"/>
      <c r="L3" s="51"/>
      <c r="M3" s="53"/>
      <c r="N3" s="5" t="s">
        <v>8</v>
      </c>
    </row>
    <row r="4" spans="2:14" x14ac:dyDescent="0.2">
      <c r="B4" s="6" t="s">
        <v>9</v>
      </c>
      <c r="C4" s="19" t="s">
        <v>10</v>
      </c>
      <c r="D4" s="54" t="s">
        <v>11</v>
      </c>
      <c r="E4" s="56" t="s">
        <v>12</v>
      </c>
      <c r="F4" s="58" t="s">
        <v>13</v>
      </c>
      <c r="G4" s="57" t="s">
        <v>14</v>
      </c>
      <c r="H4" s="57" t="s">
        <v>12</v>
      </c>
      <c r="I4" s="60" t="s">
        <v>15</v>
      </c>
      <c r="J4" s="62"/>
      <c r="K4" s="7"/>
      <c r="L4" s="7"/>
      <c r="M4" s="8"/>
      <c r="N4" s="7"/>
    </row>
    <row r="5" spans="2:14" x14ac:dyDescent="0.2">
      <c r="B5" s="9"/>
      <c r="C5" s="8"/>
      <c r="D5" s="55"/>
      <c r="E5" s="57"/>
      <c r="F5" s="59"/>
      <c r="G5" s="57"/>
      <c r="H5" s="57"/>
      <c r="I5" s="61"/>
      <c r="J5" s="63"/>
      <c r="K5" s="5"/>
      <c r="L5" s="5"/>
      <c r="M5" s="10"/>
      <c r="N5" s="7"/>
    </row>
    <row r="6" spans="2:14" x14ac:dyDescent="0.2">
      <c r="B6" s="49" t="s">
        <v>16</v>
      </c>
      <c r="C6" s="19" t="s">
        <v>17</v>
      </c>
      <c r="D6" s="37">
        <v>352352</v>
      </c>
      <c r="E6" s="38">
        <v>160911</v>
      </c>
      <c r="F6" s="39">
        <v>6628</v>
      </c>
      <c r="G6" s="38">
        <v>250927</v>
      </c>
      <c r="H6" s="38">
        <v>136749</v>
      </c>
      <c r="I6" s="40" t="s">
        <v>23</v>
      </c>
      <c r="J6" s="11">
        <f>(D6-D6)/D6</f>
        <v>0</v>
      </c>
      <c r="K6" s="11">
        <f>(E6-E6)/E6</f>
        <v>0</v>
      </c>
      <c r="L6" s="11">
        <f>(G6-G6)/G6</f>
        <v>0</v>
      </c>
      <c r="M6" s="12">
        <f>(H6-H6)/H6</f>
        <v>0</v>
      </c>
      <c r="N6" s="11">
        <f>(F6-F6)/F6</f>
        <v>0</v>
      </c>
    </row>
    <row r="7" spans="2:14" x14ac:dyDescent="0.2">
      <c r="B7" s="50"/>
      <c r="C7" s="8" t="s">
        <v>18</v>
      </c>
      <c r="D7" s="34">
        <v>363465</v>
      </c>
      <c r="E7" s="33">
        <v>167616</v>
      </c>
      <c r="F7" s="35">
        <v>2037</v>
      </c>
      <c r="G7" s="33">
        <v>263197</v>
      </c>
      <c r="H7" s="33">
        <v>146930</v>
      </c>
      <c r="I7" s="36" t="s">
        <v>24</v>
      </c>
      <c r="J7" s="13">
        <f>(D6-D7)/D6</f>
        <v>-3.15394832440287E-2</v>
      </c>
      <c r="K7" s="13">
        <f>(E6-E7)/E6</f>
        <v>-4.166899714749147E-2</v>
      </c>
      <c r="L7" s="13">
        <f>(G6-G7)/G6</f>
        <v>-4.889868368091118E-2</v>
      </c>
      <c r="M7" s="14">
        <f>(H6-H7)/H6</f>
        <v>-7.445027020307278E-2</v>
      </c>
      <c r="N7" s="13">
        <f>(F6-F7)/F6</f>
        <v>0.69266747133373563</v>
      </c>
    </row>
    <row r="8" spans="2:14" x14ac:dyDescent="0.2">
      <c r="B8" s="50"/>
      <c r="C8" s="8" t="s">
        <v>21</v>
      </c>
      <c r="D8" s="34">
        <v>366765</v>
      </c>
      <c r="E8" s="33">
        <v>133200</v>
      </c>
      <c r="F8" s="35">
        <v>1414</v>
      </c>
      <c r="G8" s="33">
        <v>260720</v>
      </c>
      <c r="H8" s="33">
        <v>140752</v>
      </c>
      <c r="I8" s="36" t="s">
        <v>25</v>
      </c>
      <c r="J8" s="13">
        <f>(D6-D8)/D6</f>
        <v>-4.0905117609663061E-2</v>
      </c>
      <c r="K8" s="13">
        <f>(E6-E8)/E6</f>
        <v>0.17221321102969964</v>
      </c>
      <c r="L8" s="13">
        <f>(G6-G8)/G6</f>
        <v>-3.90272868204697E-2</v>
      </c>
      <c r="M8" s="14">
        <f>(H6-H8)/H6</f>
        <v>-2.927260894046757E-2</v>
      </c>
      <c r="N8" s="13">
        <f>(F6-F8)/F6</f>
        <v>0.78666264333132163</v>
      </c>
    </row>
    <row r="9" spans="2:14" x14ac:dyDescent="0.2">
      <c r="B9" s="51"/>
      <c r="C9" s="8" t="s">
        <v>22</v>
      </c>
      <c r="D9" s="34">
        <v>351888</v>
      </c>
      <c r="E9" s="33">
        <v>160868</v>
      </c>
      <c r="F9" s="35">
        <v>2973</v>
      </c>
      <c r="G9" s="33">
        <v>250821</v>
      </c>
      <c r="H9" s="33">
        <v>136785</v>
      </c>
      <c r="I9" s="36" t="s">
        <v>26</v>
      </c>
      <c r="J9" s="15">
        <f>(D6-D9)/D6</f>
        <v>1.3168649532285897E-3</v>
      </c>
      <c r="K9" s="15">
        <f>(E6-E9)/E6</f>
        <v>2.6722846791083269E-4</v>
      </c>
      <c r="L9" s="15">
        <f>(G6-G9)/G6</f>
        <v>4.2243361615131096E-4</v>
      </c>
      <c r="M9" s="16">
        <f>(H6-H9)/H6</f>
        <v>-2.6325603843538163E-4</v>
      </c>
      <c r="N9" s="15">
        <f>(F6-F9)/F6</f>
        <v>0.55144840072420032</v>
      </c>
    </row>
    <row r="10" spans="2:14" x14ac:dyDescent="0.2">
      <c r="B10" s="49" t="s">
        <v>19</v>
      </c>
      <c r="C10" s="19" t="s">
        <v>17</v>
      </c>
      <c r="D10" s="37">
        <v>355439</v>
      </c>
      <c r="E10" s="38">
        <v>147380</v>
      </c>
      <c r="F10" s="39">
        <v>2472</v>
      </c>
      <c r="G10" s="38">
        <v>255895</v>
      </c>
      <c r="H10" s="38">
        <v>126717</v>
      </c>
      <c r="I10" s="40" t="s">
        <v>27</v>
      </c>
      <c r="J10" s="11">
        <f>(D10-D10)/D10</f>
        <v>0</v>
      </c>
      <c r="K10" s="11">
        <f>(E10-E10)/E10</f>
        <v>0</v>
      </c>
      <c r="L10" s="11">
        <f>(G10-G10)/G10</f>
        <v>0</v>
      </c>
      <c r="M10" s="12">
        <f>(H10-H10)/H10</f>
        <v>0</v>
      </c>
      <c r="N10" s="11">
        <f>(F10-F10)/F10</f>
        <v>0</v>
      </c>
    </row>
    <row r="11" spans="2:14" x14ac:dyDescent="0.2">
      <c r="B11" s="50"/>
      <c r="C11" s="8" t="s">
        <v>18</v>
      </c>
      <c r="D11" s="34">
        <v>357424</v>
      </c>
      <c r="E11" s="33">
        <v>156809</v>
      </c>
      <c r="F11" s="35">
        <v>1651</v>
      </c>
      <c r="G11" s="33">
        <v>263443</v>
      </c>
      <c r="H11" s="33">
        <v>138286</v>
      </c>
      <c r="I11" s="36" t="s">
        <v>28</v>
      </c>
      <c r="J11" s="13">
        <f>(D10-D11)/D10</f>
        <v>-5.5846432158541976E-3</v>
      </c>
      <c r="K11" s="13">
        <f>(E10-E11)/E10</f>
        <v>-6.3977473198534404E-2</v>
      </c>
      <c r="L11" s="13">
        <f>(G10-G11)/G10</f>
        <v>-2.949647316282069E-2</v>
      </c>
      <c r="M11" s="14">
        <f>(H10-H11)/H10</f>
        <v>-9.1297931611385996E-2</v>
      </c>
      <c r="N11" s="13">
        <f>(F10-F11)/F10</f>
        <v>0.33211974110032361</v>
      </c>
    </row>
    <row r="12" spans="2:14" x14ac:dyDescent="0.2">
      <c r="B12" s="50"/>
      <c r="C12" s="8" t="s">
        <v>21</v>
      </c>
      <c r="D12" s="34">
        <v>361498</v>
      </c>
      <c r="E12" s="33">
        <v>118077</v>
      </c>
      <c r="F12" s="35">
        <v>1350</v>
      </c>
      <c r="G12" s="33">
        <v>259260</v>
      </c>
      <c r="H12" s="33">
        <v>130655</v>
      </c>
      <c r="I12" s="36" t="s">
        <v>29</v>
      </c>
      <c r="J12" s="13">
        <f>(D10-D12)/D10</f>
        <v>-1.7046525564161502E-2</v>
      </c>
      <c r="K12" s="13">
        <f>(E10-E12)/E10</f>
        <v>0.19882616365856967</v>
      </c>
      <c r="L12" s="13">
        <f>(G10-G12)/G10</f>
        <v>-1.3149924773833017E-2</v>
      </c>
      <c r="M12" s="14">
        <f>(H10-H12)/H10</f>
        <v>-3.1077124616270903E-2</v>
      </c>
      <c r="N12" s="13">
        <f>(F10-F12)/F10</f>
        <v>0.45388349514563109</v>
      </c>
    </row>
    <row r="13" spans="2:14" x14ac:dyDescent="0.2">
      <c r="B13" s="51"/>
      <c r="C13" s="10" t="s">
        <v>22</v>
      </c>
      <c r="D13" s="34">
        <v>355013</v>
      </c>
      <c r="E13" s="33">
        <v>147380</v>
      </c>
      <c r="F13" s="35">
        <v>2806</v>
      </c>
      <c r="G13" s="44">
        <v>255895</v>
      </c>
      <c r="H13" s="44">
        <v>126717</v>
      </c>
      <c r="I13" s="43" t="s">
        <v>30</v>
      </c>
      <c r="J13" s="15">
        <f>(D10-D13)/D10</f>
        <v>1.1985178891455355E-3</v>
      </c>
      <c r="K13" s="15">
        <f>(E10-E13)/E10</f>
        <v>0</v>
      </c>
      <c r="L13" s="15">
        <f>(G10-G13)/G10</f>
        <v>0</v>
      </c>
      <c r="M13" s="16">
        <f>(H10-H13)/H10</f>
        <v>0</v>
      </c>
      <c r="N13" s="15">
        <f>(F10-F13)/F10</f>
        <v>-0.13511326860841424</v>
      </c>
    </row>
    <row r="14" spans="2:14" x14ac:dyDescent="0.2">
      <c r="B14" s="49" t="s">
        <v>20</v>
      </c>
      <c r="C14" s="8" t="s">
        <v>17</v>
      </c>
      <c r="D14" s="37">
        <v>841337</v>
      </c>
      <c r="E14" s="38">
        <v>449872</v>
      </c>
      <c r="F14" s="39">
        <v>5392</v>
      </c>
      <c r="G14" s="33">
        <v>546551</v>
      </c>
      <c r="H14" s="33">
        <v>385496</v>
      </c>
      <c r="I14" s="36" t="s">
        <v>31</v>
      </c>
      <c r="J14" s="11">
        <f>(D14-D14)/D14</f>
        <v>0</v>
      </c>
      <c r="K14" s="11">
        <f>(E14-E14)/E14</f>
        <v>0</v>
      </c>
      <c r="L14" s="11">
        <f>(G14-G14)/G14</f>
        <v>0</v>
      </c>
      <c r="M14" s="12">
        <f>(H14-H14)/H14</f>
        <v>0</v>
      </c>
      <c r="N14" s="11">
        <f>(F14-F14)/F14</f>
        <v>0</v>
      </c>
    </row>
    <row r="15" spans="2:14" x14ac:dyDescent="0.2">
      <c r="B15" s="50"/>
      <c r="C15" s="8" t="s">
        <v>18</v>
      </c>
      <c r="D15" s="34">
        <v>814961</v>
      </c>
      <c r="E15" s="33">
        <v>495235</v>
      </c>
      <c r="F15" s="35">
        <v>4866</v>
      </c>
      <c r="G15" s="33">
        <v>546735</v>
      </c>
      <c r="H15" s="33">
        <v>411271</v>
      </c>
      <c r="I15" s="36" t="s">
        <v>32</v>
      </c>
      <c r="J15" s="13">
        <f>(D14-D15)/D14</f>
        <v>3.1350101089099851E-2</v>
      </c>
      <c r="K15" s="13">
        <f>(E14-E15)/E14</f>
        <v>-0.10083534872141409</v>
      </c>
      <c r="L15" s="13">
        <f>(G14-G15)/G14</f>
        <v>-3.3665659746299982E-4</v>
      </c>
      <c r="M15" s="14">
        <f>(H14-H15)/H14</f>
        <v>-6.6861912964077452E-2</v>
      </c>
      <c r="N15" s="13">
        <f>(F14-F15)/F14</f>
        <v>9.7551928783382785E-2</v>
      </c>
    </row>
    <row r="16" spans="2:14" x14ac:dyDescent="0.2">
      <c r="B16" s="50"/>
      <c r="C16" s="8" t="s">
        <v>21</v>
      </c>
      <c r="D16" s="34">
        <v>848836</v>
      </c>
      <c r="E16" s="33">
        <v>369821</v>
      </c>
      <c r="F16" s="35">
        <v>3649</v>
      </c>
      <c r="G16" s="33">
        <v>550306</v>
      </c>
      <c r="H16" s="33">
        <v>397994</v>
      </c>
      <c r="I16" s="36" t="s">
        <v>33</v>
      </c>
      <c r="J16" s="13">
        <f>(D14-D16)/D14</f>
        <v>-8.9131941184091516E-3</v>
      </c>
      <c r="K16" s="13">
        <f>(E14-E16)/E14</f>
        <v>0.17794172564640609</v>
      </c>
      <c r="L16" s="13">
        <f>(G14-G16)/G14</f>
        <v>-6.8703561058345878E-3</v>
      </c>
      <c r="M16" s="14">
        <f>(H14-H16)/H14</f>
        <v>-3.2420569863241121E-2</v>
      </c>
      <c r="N16" s="13">
        <f>(F14-F16)/F14</f>
        <v>0.3232566765578635</v>
      </c>
    </row>
    <row r="17" spans="1:14" x14ac:dyDescent="0.2">
      <c r="B17" s="51"/>
      <c r="C17" s="10" t="s">
        <v>22</v>
      </c>
      <c r="D17" s="41">
        <v>840638</v>
      </c>
      <c r="E17" s="44">
        <v>449872</v>
      </c>
      <c r="F17" s="42">
        <v>52447</v>
      </c>
      <c r="G17" s="44">
        <v>546626</v>
      </c>
      <c r="H17" s="44">
        <v>385866</v>
      </c>
      <c r="I17" s="43" t="s">
        <v>34</v>
      </c>
      <c r="J17" s="15">
        <f>(D14-D17)/D14</f>
        <v>8.3082046789811936E-4</v>
      </c>
      <c r="K17" s="15">
        <f>(E14-E17)/E14</f>
        <v>0</v>
      </c>
      <c r="L17" s="15">
        <f>(G14-G17)/G14</f>
        <v>-1.3722415657459229E-4</v>
      </c>
      <c r="M17" s="16">
        <f>(H14-H17)/H14</f>
        <v>-9.5980243634175195E-4</v>
      </c>
      <c r="N17" s="15">
        <f>(F14-F17)/F14</f>
        <v>-8.7268175074183976</v>
      </c>
    </row>
    <row r="18" spans="1:14" ht="19" customHeight="1" x14ac:dyDescent="0.2">
      <c r="A18" s="32"/>
      <c r="B18" s="32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</row>
    <row r="19" spans="1:14" ht="19" customHeight="1" x14ac:dyDescent="0.2">
      <c r="A19" s="32"/>
      <c r="B19" s="32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</row>
    <row r="20" spans="1:14" ht="19" customHeight="1" x14ac:dyDescent="0.2">
      <c r="A20" s="32"/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</row>
    <row r="21" spans="1:14" ht="19" customHeight="1" x14ac:dyDescent="0.2">
      <c r="A21" s="32"/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</row>
    <row r="22" spans="1:14" ht="19" customHeight="1" x14ac:dyDescent="0.2">
      <c r="A22" s="32"/>
      <c r="B22" s="32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</row>
    <row r="23" spans="1:14" ht="19" customHeight="1" x14ac:dyDescent="0.2">
      <c r="A23" s="32"/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</row>
    <row r="24" spans="1:14" ht="19" customHeight="1" x14ac:dyDescent="0.2">
      <c r="A24" s="32"/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</row>
    <row r="25" spans="1:14" ht="19" customHeight="1" x14ac:dyDescent="0.2">
      <c r="A25" s="32"/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</row>
    <row r="26" spans="1:14" x14ac:dyDescent="0.2">
      <c r="A26" s="32"/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</row>
    <row r="27" spans="1:14" x14ac:dyDescent="0.2">
      <c r="A27" s="32"/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</row>
    <row r="28" spans="1:14" x14ac:dyDescent="0.2">
      <c r="A28" s="32"/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</row>
    <row r="29" spans="1:14" x14ac:dyDescent="0.2">
      <c r="A29" s="32"/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</row>
    <row r="30" spans="1:14" x14ac:dyDescent="0.2">
      <c r="A30" s="32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</row>
    <row r="31" spans="1:14" x14ac:dyDescent="0.2">
      <c r="A31" s="32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</row>
    <row r="32" spans="1:14" x14ac:dyDescent="0.2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</row>
    <row r="33" spans="1:14" x14ac:dyDescent="0.2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</row>
    <row r="34" spans="1:14" x14ac:dyDescent="0.2">
      <c r="A34" s="32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</row>
    <row r="35" spans="1:14" x14ac:dyDescent="0.2">
      <c r="A35" s="32"/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</row>
    <row r="36" spans="1:14" x14ac:dyDescent="0.2">
      <c r="A36" s="32"/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</row>
    <row r="37" spans="1:14" x14ac:dyDescent="0.2">
      <c r="A37" s="32"/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</row>
    <row r="38" spans="1:14" x14ac:dyDescent="0.2">
      <c r="A38" s="32"/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</row>
    <row r="39" spans="1:14" x14ac:dyDescent="0.2">
      <c r="A39" s="32"/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</row>
  </sheetData>
  <mergeCells count="17">
    <mergeCell ref="L2:L3"/>
    <mergeCell ref="B6:B9"/>
    <mergeCell ref="B10:B13"/>
    <mergeCell ref="B14:B17"/>
    <mergeCell ref="M2:M3"/>
    <mergeCell ref="D4:D5"/>
    <mergeCell ref="E4:E5"/>
    <mergeCell ref="F4:F5"/>
    <mergeCell ref="G4:G5"/>
    <mergeCell ref="H4:H5"/>
    <mergeCell ref="I4:I5"/>
    <mergeCell ref="J4:J5"/>
    <mergeCell ref="D2:F3"/>
    <mergeCell ref="G2:H3"/>
    <mergeCell ref="I2:I3"/>
    <mergeCell ref="J2:J3"/>
    <mergeCell ref="K2:K3"/>
  </mergeCells>
  <conditionalFormatting sqref="J6:N17">
    <cfRule type="cellIs" dxfId="8" priority="1" operator="greater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86A1A-FF65-7F48-B0A0-D964C80014EF}">
  <dimension ref="B1:N17"/>
  <sheetViews>
    <sheetView zoomScale="120" zoomScaleNormal="120" workbookViewId="0">
      <selection activeCell="E15" sqref="E15"/>
    </sheetView>
  </sheetViews>
  <sheetFormatPr baseColWidth="10" defaultRowHeight="16" x14ac:dyDescent="0.2"/>
  <cols>
    <col min="4" max="4" width="13.83203125" bestFit="1" customWidth="1"/>
    <col min="5" max="5" width="9.33203125" bestFit="1" customWidth="1"/>
    <col min="6" max="6" width="12" bestFit="1" customWidth="1"/>
    <col min="7" max="7" width="13.83203125" bestFit="1" customWidth="1"/>
    <col min="8" max="8" width="9.33203125" bestFit="1" customWidth="1"/>
    <col min="9" max="9" width="12.5" bestFit="1" customWidth="1"/>
    <col min="10" max="10" width="27.6640625" bestFit="1" customWidth="1"/>
    <col min="11" max="11" width="26.5" bestFit="1" customWidth="1"/>
    <col min="12" max="12" width="27.6640625" bestFit="1" customWidth="1"/>
    <col min="13" max="13" width="26.5" bestFit="1" customWidth="1"/>
    <col min="14" max="14" width="19.1640625" bestFit="1" customWidth="1"/>
  </cols>
  <sheetData>
    <row r="1" spans="2:14" x14ac:dyDescent="0.2">
      <c r="D1" s="1"/>
      <c r="I1" s="2"/>
      <c r="J1" s="2"/>
    </row>
    <row r="2" spans="2:14" x14ac:dyDescent="0.2">
      <c r="B2" s="3"/>
      <c r="D2" s="64" t="s">
        <v>0</v>
      </c>
      <c r="E2" s="56"/>
      <c r="F2" s="58"/>
      <c r="G2" s="56" t="s">
        <v>1</v>
      </c>
      <c r="H2" s="56"/>
      <c r="I2" s="60" t="s">
        <v>2</v>
      </c>
      <c r="J2" s="49" t="s">
        <v>3</v>
      </c>
      <c r="K2" s="49" t="s">
        <v>4</v>
      </c>
      <c r="L2" s="49" t="s">
        <v>5</v>
      </c>
      <c r="M2" s="52" t="s">
        <v>6</v>
      </c>
      <c r="N2" s="4" t="s">
        <v>7</v>
      </c>
    </row>
    <row r="3" spans="2:14" x14ac:dyDescent="0.2">
      <c r="B3" s="3"/>
      <c r="D3" s="65"/>
      <c r="E3" s="66"/>
      <c r="F3" s="67"/>
      <c r="G3" s="66"/>
      <c r="H3" s="66"/>
      <c r="I3" s="68"/>
      <c r="J3" s="51"/>
      <c r="K3" s="51"/>
      <c r="L3" s="51"/>
      <c r="M3" s="53"/>
      <c r="N3" s="5" t="s">
        <v>8</v>
      </c>
    </row>
    <row r="4" spans="2:14" x14ac:dyDescent="0.2">
      <c r="B4" s="6" t="s">
        <v>9</v>
      </c>
      <c r="C4" s="19" t="s">
        <v>10</v>
      </c>
      <c r="D4" s="69" t="s">
        <v>11</v>
      </c>
      <c r="E4" s="71" t="s">
        <v>12</v>
      </c>
      <c r="F4" s="73" t="s">
        <v>13</v>
      </c>
      <c r="G4" s="56" t="s">
        <v>14</v>
      </c>
      <c r="H4" s="56" t="s">
        <v>12</v>
      </c>
      <c r="I4" s="60" t="s">
        <v>15</v>
      </c>
      <c r="J4" s="62"/>
      <c r="K4" s="7"/>
      <c r="L4" s="7"/>
      <c r="M4" s="8"/>
      <c r="N4" s="7"/>
    </row>
    <row r="5" spans="2:14" x14ac:dyDescent="0.2">
      <c r="B5" s="9"/>
      <c r="C5" s="8"/>
      <c r="D5" s="70"/>
      <c r="E5" s="72"/>
      <c r="F5" s="74"/>
      <c r="G5" s="66"/>
      <c r="H5" s="66"/>
      <c r="I5" s="68"/>
      <c r="J5" s="63"/>
      <c r="K5" s="5"/>
      <c r="L5" s="5"/>
      <c r="M5" s="10"/>
      <c r="N5" s="7"/>
    </row>
    <row r="6" spans="2:14" x14ac:dyDescent="0.2">
      <c r="B6" s="49" t="s">
        <v>16</v>
      </c>
      <c r="C6" s="19" t="s">
        <v>17</v>
      </c>
      <c r="D6" s="37">
        <v>352352</v>
      </c>
      <c r="E6" s="38">
        <v>160911</v>
      </c>
      <c r="F6" s="39">
        <v>5945</v>
      </c>
      <c r="G6">
        <v>250927</v>
      </c>
      <c r="H6">
        <v>136749</v>
      </c>
      <c r="I6" s="7" t="s">
        <v>35</v>
      </c>
      <c r="J6" s="11">
        <f>(D6-D6)/D6</f>
        <v>0</v>
      </c>
      <c r="K6" s="11">
        <f>(E6-E6)/E6</f>
        <v>0</v>
      </c>
      <c r="L6" s="11">
        <f>(G6-G6)/G6</f>
        <v>0</v>
      </c>
      <c r="M6" s="12">
        <f>(H6-H6)/H6</f>
        <v>0</v>
      </c>
      <c r="N6" s="11">
        <f>(F6-F6)/F6</f>
        <v>0</v>
      </c>
    </row>
    <row r="7" spans="2:14" x14ac:dyDescent="0.2">
      <c r="B7" s="50"/>
      <c r="C7" s="8" t="s">
        <v>18</v>
      </c>
      <c r="D7" s="34">
        <v>363465</v>
      </c>
      <c r="E7" s="33">
        <v>167616</v>
      </c>
      <c r="F7" s="35">
        <v>1968</v>
      </c>
      <c r="G7">
        <v>263197</v>
      </c>
      <c r="H7">
        <v>146930</v>
      </c>
      <c r="I7" s="7" t="s">
        <v>36</v>
      </c>
      <c r="J7" s="13">
        <f>(D6-D7)/D6</f>
        <v>-3.15394832440287E-2</v>
      </c>
      <c r="K7" s="13">
        <f>(E6-E7)/E6</f>
        <v>-4.166899714749147E-2</v>
      </c>
      <c r="L7" s="13">
        <f>(G6-G7)/G6</f>
        <v>-4.889868368091118E-2</v>
      </c>
      <c r="M7" s="14">
        <f>(H6-H7)/H6</f>
        <v>-7.445027020307278E-2</v>
      </c>
      <c r="N7" s="13">
        <f>(F6-F7)/F6</f>
        <v>0.66896551724137931</v>
      </c>
    </row>
    <row r="8" spans="2:14" x14ac:dyDescent="0.2">
      <c r="B8" s="50"/>
      <c r="C8" s="8" t="s">
        <v>21</v>
      </c>
      <c r="D8" s="34">
        <v>366765</v>
      </c>
      <c r="E8" s="33">
        <v>133200</v>
      </c>
      <c r="F8" s="35">
        <v>2246</v>
      </c>
      <c r="G8">
        <v>260720</v>
      </c>
      <c r="H8">
        <v>140752</v>
      </c>
      <c r="I8" s="7" t="s">
        <v>37</v>
      </c>
      <c r="J8" s="13">
        <f>(D6-D8)/D6</f>
        <v>-4.0905117609663061E-2</v>
      </c>
      <c r="K8" s="13">
        <f>(E6-E8)/E6</f>
        <v>0.17221321102969964</v>
      </c>
      <c r="L8" s="13">
        <f>(G6-G8)/G6</f>
        <v>-3.90272868204697E-2</v>
      </c>
      <c r="M8" s="14">
        <f>(H6-H8)/H6</f>
        <v>-2.927260894046757E-2</v>
      </c>
      <c r="N8" s="13">
        <f>(F6-F8)/F6</f>
        <v>0.62220353238015136</v>
      </c>
    </row>
    <row r="9" spans="2:14" x14ac:dyDescent="0.2">
      <c r="B9" s="51"/>
      <c r="C9" s="10" t="s">
        <v>22</v>
      </c>
      <c r="D9" s="41">
        <v>347300</v>
      </c>
      <c r="E9" s="33">
        <v>160971</v>
      </c>
      <c r="F9" s="42">
        <v>80342</v>
      </c>
      <c r="G9">
        <v>249533</v>
      </c>
      <c r="H9">
        <v>137784</v>
      </c>
      <c r="I9" s="7" t="s">
        <v>38</v>
      </c>
      <c r="J9" s="15">
        <f>(D6-D9)/D6</f>
        <v>1.4337934792480246E-2</v>
      </c>
      <c r="K9" s="15">
        <f>(E6-E9)/E6</f>
        <v>-3.7287693196860376E-4</v>
      </c>
      <c r="L9" s="15">
        <f>(G6-G9)/G6</f>
        <v>5.5554005746691268E-3</v>
      </c>
      <c r="M9" s="16">
        <f>(H6-H9)/H6</f>
        <v>-7.5686111050172217E-3</v>
      </c>
      <c r="N9" s="15">
        <f>(F6-F9)/F6</f>
        <v>-12.51421362489487</v>
      </c>
    </row>
    <row r="10" spans="2:14" x14ac:dyDescent="0.2">
      <c r="B10" s="49" t="s">
        <v>19</v>
      </c>
      <c r="C10" s="19" t="s">
        <v>17</v>
      </c>
      <c r="D10" s="37">
        <v>355439</v>
      </c>
      <c r="E10" s="38">
        <v>147380</v>
      </c>
      <c r="F10" s="39">
        <v>2461</v>
      </c>
      <c r="G10" s="20">
        <v>255895</v>
      </c>
      <c r="H10" s="20">
        <v>126717</v>
      </c>
      <c r="I10" s="4" t="s">
        <v>39</v>
      </c>
      <c r="J10" s="11">
        <f>(D10-D10)/D10</f>
        <v>0</v>
      </c>
      <c r="K10" s="11">
        <f>(E10-E10)/E10</f>
        <v>0</v>
      </c>
      <c r="L10" s="11">
        <f>(G10-G10)/G10</f>
        <v>0</v>
      </c>
      <c r="M10" s="12">
        <f>(H10-H10)/H10</f>
        <v>0</v>
      </c>
      <c r="N10" s="11">
        <f>(F10-F10)/F10</f>
        <v>0</v>
      </c>
    </row>
    <row r="11" spans="2:14" x14ac:dyDescent="0.2">
      <c r="B11" s="50"/>
      <c r="C11" s="8" t="s">
        <v>18</v>
      </c>
      <c r="D11" s="34">
        <v>357424</v>
      </c>
      <c r="E11" s="33">
        <v>156809</v>
      </c>
      <c r="F11" s="35">
        <v>2147</v>
      </c>
      <c r="G11">
        <v>263443</v>
      </c>
      <c r="H11">
        <v>138286</v>
      </c>
      <c r="I11" s="7" t="s">
        <v>40</v>
      </c>
      <c r="J11" s="13">
        <f>(D10-D11)/D10</f>
        <v>-5.5846432158541976E-3</v>
      </c>
      <c r="K11" s="13">
        <f>(E10-E11)/E10</f>
        <v>-6.3977473198534404E-2</v>
      </c>
      <c r="L11" s="13">
        <f>(G10-G11)/G10</f>
        <v>-2.949647316282069E-2</v>
      </c>
      <c r="M11" s="14">
        <f>(H10-H11)/H10</f>
        <v>-9.1297931611385996E-2</v>
      </c>
      <c r="N11" s="13">
        <f>(F10-F11)/F10</f>
        <v>0.12759041040227551</v>
      </c>
    </row>
    <row r="12" spans="2:14" x14ac:dyDescent="0.2">
      <c r="B12" s="50"/>
      <c r="C12" s="8" t="s">
        <v>21</v>
      </c>
      <c r="D12" s="34">
        <v>361498</v>
      </c>
      <c r="E12" s="33">
        <v>118077</v>
      </c>
      <c r="F12" s="35">
        <v>1333</v>
      </c>
      <c r="G12">
        <v>259260</v>
      </c>
      <c r="H12">
        <v>130655</v>
      </c>
      <c r="I12" s="7" t="s">
        <v>41</v>
      </c>
      <c r="J12" s="13">
        <f>(D10-D12)/D10</f>
        <v>-1.7046525564161502E-2</v>
      </c>
      <c r="K12" s="13">
        <f>(E10-E12)/E10</f>
        <v>0.19882616365856967</v>
      </c>
      <c r="L12" s="13">
        <f>(G10-G12)/G10</f>
        <v>-1.3149924773833017E-2</v>
      </c>
      <c r="M12" s="14">
        <f>(H10-H12)/H10</f>
        <v>-3.1077124616270903E-2</v>
      </c>
      <c r="N12" s="13">
        <f>(F10-F12)/F10</f>
        <v>0.4583502641202763</v>
      </c>
    </row>
    <row r="13" spans="2:14" x14ac:dyDescent="0.2">
      <c r="B13" s="51"/>
      <c r="C13" s="10" t="s">
        <v>22</v>
      </c>
      <c r="D13" s="34">
        <v>353117</v>
      </c>
      <c r="E13" s="33">
        <v>147373</v>
      </c>
      <c r="F13" s="35">
        <v>45899</v>
      </c>
      <c r="G13" s="22">
        <v>254884</v>
      </c>
      <c r="H13" s="22">
        <v>127701</v>
      </c>
      <c r="I13" s="5" t="s">
        <v>42</v>
      </c>
      <c r="J13" s="15">
        <f>(D10-D13)/D10</f>
        <v>6.5327665225256657E-3</v>
      </c>
      <c r="K13" s="15">
        <f>(E10-E13)/E10</f>
        <v>4.7496268150359617E-5</v>
      </c>
      <c r="L13" s="15">
        <f>(G10-G13)/G10</f>
        <v>3.9508392113952991E-3</v>
      </c>
      <c r="M13" s="16">
        <f>(H10-H13)/H10</f>
        <v>-7.7653353535831818E-3</v>
      </c>
      <c r="N13" s="15">
        <f>(F10-F13)/F10</f>
        <v>-17.650548557496954</v>
      </c>
    </row>
    <row r="14" spans="2:14" x14ac:dyDescent="0.2">
      <c r="B14" s="49" t="s">
        <v>20</v>
      </c>
      <c r="C14" s="8" t="s">
        <v>17</v>
      </c>
      <c r="D14" s="37">
        <v>841337</v>
      </c>
      <c r="E14" s="38">
        <v>449872</v>
      </c>
      <c r="F14" s="39">
        <v>5800</v>
      </c>
      <c r="G14">
        <v>546551</v>
      </c>
      <c r="H14">
        <v>385496</v>
      </c>
      <c r="I14" s="7" t="s">
        <v>43</v>
      </c>
      <c r="J14" s="11">
        <f>(D14-D14)/D14</f>
        <v>0</v>
      </c>
      <c r="K14" s="11">
        <f>(E14-E14)/E14</f>
        <v>0</v>
      </c>
      <c r="L14" s="11">
        <f>(G14-G14)/G14</f>
        <v>0</v>
      </c>
      <c r="M14" s="12">
        <f>(H14-H14)/H14</f>
        <v>0</v>
      </c>
      <c r="N14" s="11">
        <f>(F14-F14)/F14</f>
        <v>0</v>
      </c>
    </row>
    <row r="15" spans="2:14" x14ac:dyDescent="0.2">
      <c r="B15" s="50"/>
      <c r="C15" s="8" t="s">
        <v>18</v>
      </c>
      <c r="D15" s="34">
        <v>814961</v>
      </c>
      <c r="E15" s="33">
        <v>495235</v>
      </c>
      <c r="F15" s="35">
        <v>4499</v>
      </c>
      <c r="G15">
        <v>546735</v>
      </c>
      <c r="H15">
        <v>411271</v>
      </c>
      <c r="I15" s="7" t="s">
        <v>44</v>
      </c>
      <c r="J15" s="13">
        <f>(D14-D15)/D14</f>
        <v>3.1350101089099851E-2</v>
      </c>
      <c r="K15" s="13">
        <f>(E14-E15)/E14</f>
        <v>-0.10083534872141409</v>
      </c>
      <c r="L15" s="13">
        <f>(G14-G15)/G14</f>
        <v>-3.3665659746299982E-4</v>
      </c>
      <c r="M15" s="14">
        <f>(H14-H15)/H14</f>
        <v>-6.6861912964077452E-2</v>
      </c>
      <c r="N15" s="13">
        <f>(F14-F15)/F14</f>
        <v>0.22431034482758622</v>
      </c>
    </row>
    <row r="16" spans="2:14" x14ac:dyDescent="0.2">
      <c r="B16" s="50"/>
      <c r="C16" s="8" t="s">
        <v>21</v>
      </c>
      <c r="D16" s="34">
        <v>848836</v>
      </c>
      <c r="E16" s="33">
        <v>369821</v>
      </c>
      <c r="F16" s="35">
        <v>5982</v>
      </c>
      <c r="G16">
        <v>550306</v>
      </c>
      <c r="H16">
        <v>397994</v>
      </c>
      <c r="I16" s="7" t="s">
        <v>45</v>
      </c>
      <c r="J16" s="13">
        <f>(D14-D16)/D14</f>
        <v>-8.9131941184091516E-3</v>
      </c>
      <c r="K16" s="13">
        <f>(E14-E16)/E14</f>
        <v>0.17794172564640609</v>
      </c>
      <c r="L16" s="13">
        <f>(G14-G16)/G14</f>
        <v>-6.8703561058345878E-3</v>
      </c>
      <c r="M16" s="14">
        <f>(H14-H16)/H14</f>
        <v>-3.2420569863241121E-2</v>
      </c>
      <c r="N16" s="13">
        <f>(F14-F16)/F14</f>
        <v>-3.1379310344827584E-2</v>
      </c>
    </row>
    <row r="17" spans="2:14" x14ac:dyDescent="0.2">
      <c r="B17" s="51"/>
      <c r="C17" s="10" t="s">
        <v>22</v>
      </c>
      <c r="D17" s="41">
        <v>835894</v>
      </c>
      <c r="E17" s="44">
        <v>449759</v>
      </c>
      <c r="F17" s="42">
        <v>48609</v>
      </c>
      <c r="G17" s="22">
        <v>546626</v>
      </c>
      <c r="H17" s="22">
        <v>385866</v>
      </c>
      <c r="I17" s="5" t="s">
        <v>46</v>
      </c>
      <c r="J17" s="15">
        <f>(D14-D17)/D14</f>
        <v>6.4694646734899334E-3</v>
      </c>
      <c r="K17" s="15">
        <f>(E14-E17)/E14</f>
        <v>2.5118255859444465E-4</v>
      </c>
      <c r="L17" s="15">
        <f>(G14-G17)/G14</f>
        <v>-1.3722415657459229E-4</v>
      </c>
      <c r="M17" s="16">
        <f>(H14-H17)/H14</f>
        <v>-9.5980243634175195E-4</v>
      </c>
      <c r="N17" s="15">
        <f>(F14-F17)/F14</f>
        <v>-7.3808620689655173</v>
      </c>
    </row>
  </sheetData>
  <mergeCells count="17">
    <mergeCell ref="L2:L3"/>
    <mergeCell ref="B6:B9"/>
    <mergeCell ref="B10:B13"/>
    <mergeCell ref="B14:B17"/>
    <mergeCell ref="M2:M3"/>
    <mergeCell ref="D4:D5"/>
    <mergeCell ref="E4:E5"/>
    <mergeCell ref="F4:F5"/>
    <mergeCell ref="G4:G5"/>
    <mergeCell ref="H4:H5"/>
    <mergeCell ref="I4:I5"/>
    <mergeCell ref="J4:J5"/>
    <mergeCell ref="D2:F3"/>
    <mergeCell ref="G2:H3"/>
    <mergeCell ref="I2:I3"/>
    <mergeCell ref="J2:J3"/>
    <mergeCell ref="K2:K3"/>
  </mergeCells>
  <conditionalFormatting sqref="J6:N17">
    <cfRule type="cellIs" dxfId="7" priority="1" operator="greaterThan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6E482-0288-E347-8758-DA045B9FFD0B}">
  <dimension ref="B1:N17"/>
  <sheetViews>
    <sheetView zoomScale="120" zoomScaleNormal="120" workbookViewId="0">
      <selection activeCell="D17" sqref="D17:E17"/>
    </sheetView>
  </sheetViews>
  <sheetFormatPr baseColWidth="10" defaultRowHeight="16" x14ac:dyDescent="0.2"/>
  <cols>
    <col min="4" max="4" width="13.83203125" bestFit="1" customWidth="1"/>
    <col min="5" max="5" width="9.33203125" bestFit="1" customWidth="1"/>
    <col min="6" max="6" width="12" bestFit="1" customWidth="1"/>
    <col min="7" max="7" width="13.83203125" bestFit="1" customWidth="1"/>
    <col min="8" max="8" width="9.33203125" bestFit="1" customWidth="1"/>
    <col min="9" max="9" width="12.5" bestFit="1" customWidth="1"/>
    <col min="10" max="10" width="27.5" bestFit="1" customWidth="1"/>
    <col min="11" max="11" width="26.1640625" bestFit="1" customWidth="1"/>
    <col min="12" max="12" width="27.5" bestFit="1" customWidth="1"/>
    <col min="13" max="13" width="26.1640625" bestFit="1" customWidth="1"/>
    <col min="14" max="14" width="19.1640625" bestFit="1" customWidth="1"/>
  </cols>
  <sheetData>
    <row r="1" spans="2:14" x14ac:dyDescent="0.2">
      <c r="D1" s="1"/>
      <c r="I1" s="2"/>
      <c r="J1" s="2"/>
    </row>
    <row r="2" spans="2:14" x14ac:dyDescent="0.2">
      <c r="B2" s="3"/>
      <c r="D2" s="64" t="s">
        <v>0</v>
      </c>
      <c r="E2" s="56"/>
      <c r="F2" s="56"/>
      <c r="G2" s="64" t="s">
        <v>1</v>
      </c>
      <c r="H2" s="58"/>
      <c r="I2" s="77" t="s">
        <v>2</v>
      </c>
      <c r="J2" s="49" t="s">
        <v>3</v>
      </c>
      <c r="K2" s="49" t="s">
        <v>4</v>
      </c>
      <c r="L2" s="49" t="s">
        <v>5</v>
      </c>
      <c r="M2" s="52" t="s">
        <v>6</v>
      </c>
      <c r="N2" s="4" t="s">
        <v>7</v>
      </c>
    </row>
    <row r="3" spans="2:14" x14ac:dyDescent="0.2">
      <c r="B3" s="3"/>
      <c r="D3" s="65"/>
      <c r="E3" s="66"/>
      <c r="F3" s="66"/>
      <c r="G3" s="65"/>
      <c r="H3" s="67"/>
      <c r="I3" s="79"/>
      <c r="J3" s="51"/>
      <c r="K3" s="51"/>
      <c r="L3" s="51"/>
      <c r="M3" s="53"/>
      <c r="N3" s="5" t="s">
        <v>8</v>
      </c>
    </row>
    <row r="4" spans="2:14" x14ac:dyDescent="0.2">
      <c r="B4" s="6" t="s">
        <v>9</v>
      </c>
      <c r="C4" s="4" t="s">
        <v>10</v>
      </c>
      <c r="D4" s="75" t="s">
        <v>11</v>
      </c>
      <c r="E4" s="57" t="s">
        <v>12</v>
      </c>
      <c r="F4" s="57" t="s">
        <v>13</v>
      </c>
      <c r="G4" s="76" t="s">
        <v>14</v>
      </c>
      <c r="H4" s="59" t="s">
        <v>12</v>
      </c>
      <c r="I4" s="77" t="s">
        <v>15</v>
      </c>
      <c r="J4" s="62"/>
      <c r="K4" s="7"/>
      <c r="L4" s="7"/>
      <c r="M4" s="8"/>
      <c r="N4" s="7"/>
    </row>
    <row r="5" spans="2:14" x14ac:dyDescent="0.2">
      <c r="B5" s="9"/>
      <c r="C5" s="7"/>
      <c r="D5" s="75"/>
      <c r="E5" s="57"/>
      <c r="F5" s="57"/>
      <c r="G5" s="76"/>
      <c r="H5" s="59"/>
      <c r="I5" s="78"/>
      <c r="J5" s="63"/>
      <c r="K5" s="5"/>
      <c r="L5" s="5"/>
      <c r="M5" s="10"/>
      <c r="N5" s="7"/>
    </row>
    <row r="6" spans="2:14" x14ac:dyDescent="0.2">
      <c r="B6" s="49" t="s">
        <v>16</v>
      </c>
      <c r="C6" s="4" t="s">
        <v>17</v>
      </c>
      <c r="D6" s="20">
        <v>352352</v>
      </c>
      <c r="E6" s="20">
        <v>160911</v>
      </c>
      <c r="F6" s="20">
        <v>7547</v>
      </c>
      <c r="G6" s="19">
        <v>250927</v>
      </c>
      <c r="H6" s="21">
        <v>136749</v>
      </c>
      <c r="I6" s="21" t="s">
        <v>47</v>
      </c>
      <c r="J6" s="11">
        <f>(D6-D6)/D6</f>
        <v>0</v>
      </c>
      <c r="K6" s="11">
        <f>(E6-E6)/E6</f>
        <v>0</v>
      </c>
      <c r="L6" s="11">
        <f>(G6-G6)/G6</f>
        <v>0</v>
      </c>
      <c r="M6" s="12">
        <f>(H6-H6)/H6</f>
        <v>0</v>
      </c>
      <c r="N6" s="11">
        <f>(F6-F6)/F6</f>
        <v>0</v>
      </c>
    </row>
    <row r="7" spans="2:14" x14ac:dyDescent="0.2">
      <c r="B7" s="50"/>
      <c r="C7" s="7" t="s">
        <v>18</v>
      </c>
      <c r="D7">
        <v>363465</v>
      </c>
      <c r="E7">
        <v>167616</v>
      </c>
      <c r="F7">
        <v>2264</v>
      </c>
      <c r="G7" s="8">
        <v>263197</v>
      </c>
      <c r="H7" s="18">
        <v>146930</v>
      </c>
      <c r="I7" s="18" t="s">
        <v>48</v>
      </c>
      <c r="J7" s="13">
        <f>(D6-D7)/D6</f>
        <v>-3.15394832440287E-2</v>
      </c>
      <c r="K7" s="13">
        <f>(E6-E7)/E6</f>
        <v>-4.166899714749147E-2</v>
      </c>
      <c r="L7" s="13">
        <f>(G6-G7)/G6</f>
        <v>-4.889868368091118E-2</v>
      </c>
      <c r="M7" s="14">
        <f>(H6-H7)/H6</f>
        <v>-7.445027020307278E-2</v>
      </c>
      <c r="N7" s="13">
        <f>(F6-F7)/F6</f>
        <v>0.70001325029813166</v>
      </c>
    </row>
    <row r="8" spans="2:14" x14ac:dyDescent="0.2">
      <c r="B8" s="50"/>
      <c r="C8" s="7" t="s">
        <v>21</v>
      </c>
      <c r="D8">
        <v>366765</v>
      </c>
      <c r="E8">
        <v>133200</v>
      </c>
      <c r="F8">
        <v>1354</v>
      </c>
      <c r="G8" s="8">
        <v>260720</v>
      </c>
      <c r="H8" s="18">
        <v>140752</v>
      </c>
      <c r="I8" s="18" t="s">
        <v>49</v>
      </c>
      <c r="J8" s="13">
        <f>(D6-D8)/D6</f>
        <v>-4.0905117609663061E-2</v>
      </c>
      <c r="K8" s="13">
        <f>(E6-E8)/E6</f>
        <v>0.17221321102969964</v>
      </c>
      <c r="L8" s="13">
        <f>(G6-G8)/G6</f>
        <v>-3.90272868204697E-2</v>
      </c>
      <c r="M8" s="14">
        <f>(H6-H8)/H6</f>
        <v>-2.927260894046757E-2</v>
      </c>
      <c r="N8" s="13">
        <f>(F6-F8)/F6</f>
        <v>0.82059096329667414</v>
      </c>
    </row>
    <row r="9" spans="2:14" x14ac:dyDescent="0.2">
      <c r="B9" s="51"/>
      <c r="C9" s="7" t="s">
        <v>22</v>
      </c>
      <c r="D9">
        <v>346888</v>
      </c>
      <c r="E9">
        <v>133217</v>
      </c>
      <c r="F9">
        <v>48523</v>
      </c>
      <c r="G9" s="8">
        <v>249746</v>
      </c>
      <c r="H9" s="18">
        <v>138565</v>
      </c>
      <c r="I9" s="18" t="s">
        <v>50</v>
      </c>
      <c r="J9" s="15">
        <f>(D6-D9)/D6</f>
        <v>1.5507220052674598E-2</v>
      </c>
      <c r="K9" s="15">
        <f>(E6-E9)/E6</f>
        <v>0.17210756256564189</v>
      </c>
      <c r="L9" s="15">
        <f>(G6-G9)/G6</f>
        <v>4.7065481195726249E-3</v>
      </c>
      <c r="M9" s="16">
        <f>(H6-H9)/H6</f>
        <v>-1.3279804605518138E-2</v>
      </c>
      <c r="N9" s="15">
        <f>(F6-F9)/F6</f>
        <v>-5.4294421624486553</v>
      </c>
    </row>
    <row r="10" spans="2:14" x14ac:dyDescent="0.2">
      <c r="B10" s="49" t="s">
        <v>19</v>
      </c>
      <c r="C10" s="4" t="s">
        <v>17</v>
      </c>
      <c r="D10" s="20">
        <v>355439</v>
      </c>
      <c r="E10" s="20">
        <v>147380</v>
      </c>
      <c r="F10" s="20">
        <v>2767</v>
      </c>
      <c r="G10" s="19">
        <v>255895</v>
      </c>
      <c r="H10" s="21">
        <v>126717</v>
      </c>
      <c r="I10" s="21" t="s">
        <v>51</v>
      </c>
      <c r="J10" s="11">
        <f>(D10-D10)/D10</f>
        <v>0</v>
      </c>
      <c r="K10" s="11">
        <f>(E10-E10)/E10</f>
        <v>0</v>
      </c>
      <c r="L10" s="11">
        <f>(G10-G10)/G10</f>
        <v>0</v>
      </c>
      <c r="M10" s="12">
        <f>(H10-H10)/H10</f>
        <v>0</v>
      </c>
      <c r="N10" s="11">
        <f>(F10-F10)/F10</f>
        <v>0</v>
      </c>
    </row>
    <row r="11" spans="2:14" x14ac:dyDescent="0.2">
      <c r="B11" s="50"/>
      <c r="C11" s="7" t="s">
        <v>18</v>
      </c>
      <c r="D11">
        <v>357424</v>
      </c>
      <c r="E11">
        <v>156809</v>
      </c>
      <c r="F11">
        <v>2137</v>
      </c>
      <c r="G11" s="8">
        <v>263443</v>
      </c>
      <c r="H11" s="18">
        <v>138286</v>
      </c>
      <c r="I11" s="18" t="s">
        <v>52</v>
      </c>
      <c r="J11" s="13">
        <f>(D10-D11)/D10</f>
        <v>-5.5846432158541976E-3</v>
      </c>
      <c r="K11" s="13">
        <f>(E10-E11)/E10</f>
        <v>-6.3977473198534404E-2</v>
      </c>
      <c r="L11" s="13">
        <f>(G10-G11)/G10</f>
        <v>-2.949647316282069E-2</v>
      </c>
      <c r="M11" s="14">
        <f>(H10-H11)/H10</f>
        <v>-9.1297931611385996E-2</v>
      </c>
      <c r="N11" s="13">
        <f>(F10-F11)/F10</f>
        <v>0.22768341163715214</v>
      </c>
    </row>
    <row r="12" spans="2:14" x14ac:dyDescent="0.2">
      <c r="B12" s="50"/>
      <c r="C12" s="7" t="s">
        <v>21</v>
      </c>
      <c r="D12">
        <v>361498</v>
      </c>
      <c r="E12">
        <v>118077</v>
      </c>
      <c r="F12">
        <v>1424</v>
      </c>
      <c r="G12" s="8">
        <v>259260</v>
      </c>
      <c r="H12" s="18">
        <v>130655</v>
      </c>
      <c r="I12" s="18" t="s">
        <v>53</v>
      </c>
      <c r="J12" s="13">
        <f>(D10-D12)/D10</f>
        <v>-1.7046525564161502E-2</v>
      </c>
      <c r="K12" s="13">
        <f>(E10-E12)/E10</f>
        <v>0.19882616365856967</v>
      </c>
      <c r="L12" s="13">
        <f>(G10-G12)/G10</f>
        <v>-1.3149924773833017E-2</v>
      </c>
      <c r="M12" s="14">
        <f>(H10-H12)/H10</f>
        <v>-3.1077124616270903E-2</v>
      </c>
      <c r="N12" s="13">
        <f>(F10-F12)/F10</f>
        <v>0.48536320925189735</v>
      </c>
    </row>
    <row r="13" spans="2:14" x14ac:dyDescent="0.2">
      <c r="B13" s="51"/>
      <c r="C13" s="5" t="s">
        <v>22</v>
      </c>
      <c r="D13" s="22">
        <v>350015</v>
      </c>
      <c r="E13" s="22">
        <v>118160</v>
      </c>
      <c r="F13" s="22">
        <v>39107</v>
      </c>
      <c r="G13" s="10">
        <v>253361</v>
      </c>
      <c r="H13" s="23">
        <v>129724</v>
      </c>
      <c r="I13" s="23" t="s">
        <v>54</v>
      </c>
      <c r="J13" s="15">
        <f>(D10-D13)/D10</f>
        <v>1.5260002419543157E-2</v>
      </c>
      <c r="K13" s="15">
        <f>(E10-E13)/E10</f>
        <v>0.1982629936219297</v>
      </c>
      <c r="L13" s="15">
        <f>(G10-G13)/G10</f>
        <v>9.9024990718849532E-3</v>
      </c>
      <c r="M13" s="16">
        <f>(H10-H13)/H10</f>
        <v>-2.3730044114049418E-2</v>
      </c>
      <c r="N13" s="15">
        <f>(F10-F13)/F10</f>
        <v>-13.133357426816046</v>
      </c>
    </row>
    <row r="14" spans="2:14" x14ac:dyDescent="0.2">
      <c r="B14" s="49" t="s">
        <v>20</v>
      </c>
      <c r="C14" s="7" t="s">
        <v>17</v>
      </c>
      <c r="D14" s="19">
        <v>841337</v>
      </c>
      <c r="E14" s="20">
        <v>449872</v>
      </c>
      <c r="F14" s="21">
        <v>6317</v>
      </c>
      <c r="G14" s="8">
        <v>546551</v>
      </c>
      <c r="H14" s="18">
        <v>385496</v>
      </c>
      <c r="I14" s="18" t="s">
        <v>55</v>
      </c>
      <c r="J14" s="11">
        <f>(D14-D14)/D14</f>
        <v>0</v>
      </c>
      <c r="K14" s="11">
        <f>(E14-E14)/E14</f>
        <v>0</v>
      </c>
      <c r="L14" s="11">
        <f>(G14-G14)/G14</f>
        <v>0</v>
      </c>
      <c r="M14" s="12">
        <f>(H14-H14)/H14</f>
        <v>0</v>
      </c>
      <c r="N14" s="11">
        <f>(F14-F14)/F14</f>
        <v>0</v>
      </c>
    </row>
    <row r="15" spans="2:14" x14ac:dyDescent="0.2">
      <c r="B15" s="50"/>
      <c r="C15" s="7" t="s">
        <v>18</v>
      </c>
      <c r="D15" s="8">
        <v>814961</v>
      </c>
      <c r="E15">
        <v>495235</v>
      </c>
      <c r="F15" s="18">
        <v>4704</v>
      </c>
      <c r="G15" s="8">
        <v>546735</v>
      </c>
      <c r="H15" s="18">
        <v>411271</v>
      </c>
      <c r="I15" s="18" t="s">
        <v>56</v>
      </c>
      <c r="J15" s="13">
        <f>(D14-D15)/D14</f>
        <v>3.1350101089099851E-2</v>
      </c>
      <c r="K15" s="13">
        <f>(E14-E15)/E14</f>
        <v>-0.10083534872141409</v>
      </c>
      <c r="L15" s="13">
        <f>(G14-G15)/G14</f>
        <v>-3.3665659746299982E-4</v>
      </c>
      <c r="M15" s="14">
        <f>(H14-H15)/H14</f>
        <v>-6.6861912964077452E-2</v>
      </c>
      <c r="N15" s="13">
        <f>(F14-F15)/F14</f>
        <v>0.255342725977521</v>
      </c>
    </row>
    <row r="16" spans="2:14" x14ac:dyDescent="0.2">
      <c r="B16" s="50"/>
      <c r="C16" s="7" t="s">
        <v>21</v>
      </c>
      <c r="D16" s="8">
        <v>848836</v>
      </c>
      <c r="E16">
        <v>369821</v>
      </c>
      <c r="F16" s="18">
        <v>4214</v>
      </c>
      <c r="G16" s="8">
        <v>550306</v>
      </c>
      <c r="H16" s="18">
        <v>397994</v>
      </c>
      <c r="I16" s="18" t="s">
        <v>57</v>
      </c>
      <c r="J16" s="13">
        <f>(D14-D16)/D14</f>
        <v>-8.9131941184091516E-3</v>
      </c>
      <c r="K16" s="13">
        <f>(E14-E16)/E14</f>
        <v>0.17794172564640609</v>
      </c>
      <c r="L16" s="13">
        <f>(G14-G16)/G14</f>
        <v>-6.8703561058345878E-3</v>
      </c>
      <c r="M16" s="14">
        <f>(H14-H16)/H14</f>
        <v>-3.2420569863241121E-2</v>
      </c>
      <c r="N16" s="13">
        <f>(F14-F16)/F14</f>
        <v>0.33291119202152919</v>
      </c>
    </row>
    <row r="17" spans="2:14" x14ac:dyDescent="0.2">
      <c r="B17" s="51"/>
      <c r="C17" s="5" t="s">
        <v>22</v>
      </c>
      <c r="D17" s="41">
        <v>801286</v>
      </c>
      <c r="E17" s="44">
        <v>185427</v>
      </c>
      <c r="F17" s="23">
        <v>68638</v>
      </c>
      <c r="G17" s="10">
        <v>546626</v>
      </c>
      <c r="H17" s="23">
        <v>385866</v>
      </c>
      <c r="I17" s="23" t="s">
        <v>58</v>
      </c>
      <c r="J17" s="15">
        <f>(D14-D17)/D14</f>
        <v>4.7603992217149609E-2</v>
      </c>
      <c r="K17" s="15">
        <f>(E14-E17)/E14</f>
        <v>0.58782275847352139</v>
      </c>
      <c r="L17" s="15">
        <f>(G14-G17)/G14</f>
        <v>-1.3722415657459229E-4</v>
      </c>
      <c r="M17" s="16">
        <f>(H14-H17)/H14</f>
        <v>-9.5980243634175195E-4</v>
      </c>
      <c r="N17" s="15">
        <f>(F14-F17)/F14</f>
        <v>-9.8656007598543614</v>
      </c>
    </row>
  </sheetData>
  <mergeCells count="17">
    <mergeCell ref="L2:L3"/>
    <mergeCell ref="B6:B9"/>
    <mergeCell ref="B10:B13"/>
    <mergeCell ref="B14:B17"/>
    <mergeCell ref="M2:M3"/>
    <mergeCell ref="D4:D5"/>
    <mergeCell ref="E4:E5"/>
    <mergeCell ref="F4:F5"/>
    <mergeCell ref="G4:G5"/>
    <mergeCell ref="H4:H5"/>
    <mergeCell ref="I4:I5"/>
    <mergeCell ref="J4:J5"/>
    <mergeCell ref="D2:F3"/>
    <mergeCell ref="G2:H3"/>
    <mergeCell ref="I2:I3"/>
    <mergeCell ref="J2:J3"/>
    <mergeCell ref="K2:K3"/>
  </mergeCells>
  <conditionalFormatting sqref="J6:N17">
    <cfRule type="cellIs" dxfId="6" priority="1" operator="greaterThan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B69E8-5D9A-9E4C-B422-0FAD342869A1}">
  <dimension ref="B1:N17"/>
  <sheetViews>
    <sheetView zoomScale="120" zoomScaleNormal="120" workbookViewId="0">
      <selection activeCell="D22" sqref="D22"/>
    </sheetView>
  </sheetViews>
  <sheetFormatPr baseColWidth="10" defaultRowHeight="16" x14ac:dyDescent="0.2"/>
  <cols>
    <col min="4" max="4" width="13.83203125" bestFit="1" customWidth="1"/>
    <col min="5" max="5" width="9.33203125" bestFit="1" customWidth="1"/>
    <col min="6" max="6" width="12" bestFit="1" customWidth="1"/>
    <col min="7" max="7" width="13.83203125" bestFit="1" customWidth="1"/>
    <col min="8" max="8" width="9.33203125" bestFit="1" customWidth="1"/>
    <col min="9" max="9" width="12.5" bestFit="1" customWidth="1"/>
    <col min="10" max="10" width="27.5" bestFit="1" customWidth="1"/>
    <col min="11" max="11" width="26.1640625" bestFit="1" customWidth="1"/>
    <col min="12" max="12" width="27.5" bestFit="1" customWidth="1"/>
    <col min="13" max="13" width="26.1640625" bestFit="1" customWidth="1"/>
    <col min="14" max="14" width="19.1640625" bestFit="1" customWidth="1"/>
  </cols>
  <sheetData>
    <row r="1" spans="2:14" x14ac:dyDescent="0.2">
      <c r="D1" s="1"/>
      <c r="I1" s="2"/>
      <c r="J1" s="2"/>
    </row>
    <row r="2" spans="2:14" x14ac:dyDescent="0.2">
      <c r="B2" s="3"/>
      <c r="D2" s="64" t="s">
        <v>0</v>
      </c>
      <c r="E2" s="56"/>
      <c r="F2" s="56"/>
      <c r="G2" s="64" t="s">
        <v>1</v>
      </c>
      <c r="H2" s="58"/>
      <c r="I2" s="77" t="s">
        <v>2</v>
      </c>
      <c r="J2" s="49" t="s">
        <v>3</v>
      </c>
      <c r="K2" s="49" t="s">
        <v>4</v>
      </c>
      <c r="L2" s="49" t="s">
        <v>5</v>
      </c>
      <c r="M2" s="52" t="s">
        <v>6</v>
      </c>
      <c r="N2" s="4" t="s">
        <v>7</v>
      </c>
    </row>
    <row r="3" spans="2:14" x14ac:dyDescent="0.2">
      <c r="B3" s="3"/>
      <c r="D3" s="65"/>
      <c r="E3" s="66"/>
      <c r="F3" s="66"/>
      <c r="G3" s="65"/>
      <c r="H3" s="67"/>
      <c r="I3" s="79"/>
      <c r="J3" s="51"/>
      <c r="K3" s="51"/>
      <c r="L3" s="51"/>
      <c r="M3" s="53"/>
      <c r="N3" s="5" t="s">
        <v>124</v>
      </c>
    </row>
    <row r="4" spans="2:14" x14ac:dyDescent="0.2">
      <c r="B4" s="6" t="s">
        <v>9</v>
      </c>
      <c r="C4" s="4" t="s">
        <v>10</v>
      </c>
      <c r="D4" s="54" t="s">
        <v>11</v>
      </c>
      <c r="E4" s="56" t="s">
        <v>12</v>
      </c>
      <c r="F4" s="56" t="s">
        <v>13</v>
      </c>
      <c r="G4" s="64" t="s">
        <v>14</v>
      </c>
      <c r="H4" s="58" t="s">
        <v>12</v>
      </c>
      <c r="I4" s="77" t="s">
        <v>15</v>
      </c>
      <c r="J4" s="62"/>
      <c r="K4" s="7"/>
      <c r="L4" s="7"/>
      <c r="M4" s="8"/>
      <c r="N4" s="7"/>
    </row>
    <row r="5" spans="2:14" x14ac:dyDescent="0.2">
      <c r="B5" s="9"/>
      <c r="C5" s="7"/>
      <c r="D5" s="55"/>
      <c r="E5" s="57"/>
      <c r="F5" s="57"/>
      <c r="G5" s="76"/>
      <c r="H5" s="59"/>
      <c r="I5" s="78"/>
      <c r="J5" s="63"/>
      <c r="K5" s="5"/>
      <c r="L5" s="5"/>
      <c r="M5" s="10"/>
      <c r="N5" s="7"/>
    </row>
    <row r="6" spans="2:14" x14ac:dyDescent="0.2">
      <c r="B6" s="49" t="s">
        <v>16</v>
      </c>
      <c r="C6" s="4" t="s">
        <v>17</v>
      </c>
      <c r="D6" s="37">
        <v>352352</v>
      </c>
      <c r="E6" s="38">
        <v>160911</v>
      </c>
      <c r="F6" s="38">
        <v>6588</v>
      </c>
      <c r="G6" s="37">
        <v>250927</v>
      </c>
      <c r="H6" s="39">
        <v>136749</v>
      </c>
      <c r="I6" s="39" t="s">
        <v>59</v>
      </c>
      <c r="J6" s="11">
        <f>(D7-D6)/D7</f>
        <v>3.0575158543463606E-2</v>
      </c>
      <c r="K6" s="11">
        <f>(E7-E6)/E7</f>
        <v>4.0002147766323021E-2</v>
      </c>
      <c r="L6" s="11">
        <f>(G7-G6)/G7</f>
        <v>4.6619072405840491E-2</v>
      </c>
      <c r="M6" s="24">
        <f>(H7-H6)/H7</f>
        <v>6.9291499353433608E-2</v>
      </c>
      <c r="N6" s="11">
        <f>(F7-F6)/F7</f>
        <v>-2.3072289156626504</v>
      </c>
    </row>
    <row r="7" spans="2:14" x14ac:dyDescent="0.2">
      <c r="B7" s="50"/>
      <c r="C7" s="7" t="s">
        <v>18</v>
      </c>
      <c r="D7" s="34">
        <v>363465</v>
      </c>
      <c r="E7" s="33">
        <v>167616</v>
      </c>
      <c r="F7" s="33">
        <v>1992</v>
      </c>
      <c r="G7" s="34">
        <v>263197</v>
      </c>
      <c r="H7" s="35">
        <v>146930</v>
      </c>
      <c r="I7" s="35" t="s">
        <v>60</v>
      </c>
      <c r="J7" s="13">
        <f>(D7-D7)/D7</f>
        <v>0</v>
      </c>
      <c r="K7" s="13">
        <f>(E7-E7)/E7</f>
        <v>0</v>
      </c>
      <c r="L7" s="13">
        <f>(G7-G7)/G7</f>
        <v>0</v>
      </c>
      <c r="M7" s="25">
        <f>(H7-H7)/H7</f>
        <v>0</v>
      </c>
      <c r="N7" s="13">
        <f>(F7-F7)/F7</f>
        <v>0</v>
      </c>
    </row>
    <row r="8" spans="2:14" x14ac:dyDescent="0.2">
      <c r="B8" s="50"/>
      <c r="C8" s="7" t="s">
        <v>21</v>
      </c>
      <c r="D8" s="34">
        <v>366765</v>
      </c>
      <c r="E8" s="33">
        <v>133200</v>
      </c>
      <c r="F8" s="33">
        <v>1058</v>
      </c>
      <c r="G8" s="34">
        <v>260720</v>
      </c>
      <c r="H8" s="35">
        <v>140752</v>
      </c>
      <c r="I8" s="35" t="s">
        <v>61</v>
      </c>
      <c r="J8" s="13">
        <f>(D7-D8)/D7</f>
        <v>-9.0792786100449829E-3</v>
      </c>
      <c r="K8" s="13">
        <f>(E7-E8)/E7</f>
        <v>0.20532646048109965</v>
      </c>
      <c r="L8" s="13">
        <f>(G7-G8)/G7</f>
        <v>9.4112014954577747E-3</v>
      </c>
      <c r="M8" s="25">
        <f>(H7-H8)/H7</f>
        <v>4.2047233376437759E-2</v>
      </c>
      <c r="N8" s="17">
        <f>(F7-F8)/F7</f>
        <v>0.46887550200803213</v>
      </c>
    </row>
    <row r="9" spans="2:14" x14ac:dyDescent="0.2">
      <c r="B9" s="51"/>
      <c r="C9" s="7" t="s">
        <v>22</v>
      </c>
      <c r="D9" s="33">
        <v>341470</v>
      </c>
      <c r="E9" s="33">
        <v>157465</v>
      </c>
      <c r="F9" s="33">
        <v>63087</v>
      </c>
      <c r="G9" s="34">
        <v>251262</v>
      </c>
      <c r="H9" s="35">
        <v>146549</v>
      </c>
      <c r="I9" s="45">
        <v>1.6537037037037037E-3</v>
      </c>
      <c r="J9" s="15">
        <f>(D7-D9)/D7</f>
        <v>6.0514767584224069E-2</v>
      </c>
      <c r="K9" s="15">
        <f>(E7-E9)/E7</f>
        <v>6.0561044291714397E-2</v>
      </c>
      <c r="L9" s="15">
        <f>(G7-G9)/G7</f>
        <v>4.5346261545534332E-2</v>
      </c>
      <c r="M9" s="26">
        <f>(H7-H9)/H7</f>
        <v>2.5930715306608587E-3</v>
      </c>
      <c r="N9" s="15">
        <f>(F7-F9)/F7</f>
        <v>-30.670180722891565</v>
      </c>
    </row>
    <row r="10" spans="2:14" x14ac:dyDescent="0.2">
      <c r="B10" s="49" t="s">
        <v>19</v>
      </c>
      <c r="C10" s="4" t="s">
        <v>17</v>
      </c>
      <c r="D10" s="37"/>
      <c r="E10" s="38">
        <v>147380</v>
      </c>
      <c r="F10" s="38">
        <v>2306</v>
      </c>
      <c r="G10" s="37">
        <v>255895</v>
      </c>
      <c r="H10" s="39">
        <v>126717</v>
      </c>
      <c r="I10" s="39" t="s">
        <v>62</v>
      </c>
      <c r="J10" s="11">
        <f>(D11-D10)/D11</f>
        <v>1</v>
      </c>
      <c r="K10" s="11">
        <f>(E11-E10)/E11</f>
        <v>6.0130477204752279E-2</v>
      </c>
      <c r="L10" s="11">
        <f>(G11-G10)/G11</f>
        <v>2.8651359117532065E-2</v>
      </c>
      <c r="M10" s="27">
        <f>(H11-H10)/H11</f>
        <v>8.3659951115803474E-2</v>
      </c>
      <c r="N10" s="11">
        <f>(F11-F10)/F11</f>
        <v>-0.20732984293193718</v>
      </c>
    </row>
    <row r="11" spans="2:14" x14ac:dyDescent="0.2">
      <c r="B11" s="50"/>
      <c r="C11" s="7" t="s">
        <v>18</v>
      </c>
      <c r="D11" s="34">
        <v>357424</v>
      </c>
      <c r="E11" s="33">
        <v>156809</v>
      </c>
      <c r="F11" s="33">
        <v>1910</v>
      </c>
      <c r="G11" s="34">
        <v>263443</v>
      </c>
      <c r="H11" s="35">
        <v>138286</v>
      </c>
      <c r="I11" s="35" t="s">
        <v>63</v>
      </c>
      <c r="J11" s="13">
        <f>(D11-D11)/D11</f>
        <v>0</v>
      </c>
      <c r="K11" s="13">
        <f>(E11-E11)/E11</f>
        <v>0</v>
      </c>
      <c r="L11" s="13">
        <f>(G11-G11)/G11</f>
        <v>0</v>
      </c>
      <c r="M11" s="28">
        <f>(H11-H11)/H11</f>
        <v>0</v>
      </c>
      <c r="N11" s="13">
        <f>(F11-F11)/F11</f>
        <v>0</v>
      </c>
    </row>
    <row r="12" spans="2:14" x14ac:dyDescent="0.2">
      <c r="B12" s="50"/>
      <c r="C12" s="7" t="s">
        <v>21</v>
      </c>
      <c r="D12" s="34">
        <v>361498</v>
      </c>
      <c r="E12" s="33">
        <v>118077</v>
      </c>
      <c r="F12" s="33">
        <v>1170</v>
      </c>
      <c r="G12" s="34">
        <v>259260</v>
      </c>
      <c r="H12" s="35">
        <v>130655</v>
      </c>
      <c r="I12" s="35" t="s">
        <v>64</v>
      </c>
      <c r="J12" s="13">
        <f>(D11-D12)/D11</f>
        <v>-1.1398227315457272E-2</v>
      </c>
      <c r="K12" s="13">
        <f>(E11-E12)/E11</f>
        <v>0.24700112876174199</v>
      </c>
      <c r="L12" s="13">
        <f>(G11-G12)/G11</f>
        <v>1.5878197560762669E-2</v>
      </c>
      <c r="M12" s="28">
        <f>(H11-H12)/H11</f>
        <v>5.5182737225749533E-2</v>
      </c>
      <c r="N12" s="17">
        <f>(F11-F12)/F11</f>
        <v>0.38743455497382201</v>
      </c>
    </row>
    <row r="13" spans="2:14" x14ac:dyDescent="0.2">
      <c r="B13" s="51"/>
      <c r="C13" s="5" t="s">
        <v>22</v>
      </c>
      <c r="D13" s="33">
        <v>345034</v>
      </c>
      <c r="E13" s="33">
        <v>145527</v>
      </c>
      <c r="F13" s="33">
        <v>145527</v>
      </c>
      <c r="G13" s="41" t="s">
        <v>123</v>
      </c>
      <c r="H13" s="42" t="s">
        <v>123</v>
      </c>
      <c r="I13" s="45">
        <v>8.6226851851851859E-5</v>
      </c>
      <c r="J13" s="15">
        <f>(D11-D13)/D11</f>
        <v>3.4664711938761805E-2</v>
      </c>
      <c r="K13" s="15">
        <f>(E11-E13)/E11</f>
        <v>7.1947400978260176E-2</v>
      </c>
      <c r="L13" s="15" t="e">
        <f>(G11-G13)/G11</f>
        <v>#VALUE!</v>
      </c>
      <c r="M13" s="29" t="e">
        <f>(H11-H13)/H11</f>
        <v>#VALUE!</v>
      </c>
      <c r="N13" s="15">
        <f>(F11-F13)/F11</f>
        <v>-75.192146596858635</v>
      </c>
    </row>
    <row r="14" spans="2:14" x14ac:dyDescent="0.2">
      <c r="B14" s="49" t="s">
        <v>20</v>
      </c>
      <c r="C14" s="7" t="s">
        <v>17</v>
      </c>
      <c r="D14" s="37">
        <v>841337</v>
      </c>
      <c r="E14" s="38">
        <v>449872</v>
      </c>
      <c r="F14" s="38">
        <v>6073</v>
      </c>
      <c r="G14" s="37">
        <v>546551</v>
      </c>
      <c r="H14" s="39">
        <v>385496</v>
      </c>
      <c r="I14" s="39" t="s">
        <v>65</v>
      </c>
      <c r="J14" s="11">
        <f>(D15-D14)/D15</f>
        <v>-3.2364738926157204E-2</v>
      </c>
      <c r="K14" s="11">
        <f>(E15-E14)/E15</f>
        <v>9.1598937877977127E-2</v>
      </c>
      <c r="L14" s="11">
        <f>(G15-G14)/G15</f>
        <v>3.3654329794141586E-4</v>
      </c>
      <c r="M14" s="27">
        <f>(H15-H14)/H15</f>
        <v>6.2671571785999983E-2</v>
      </c>
      <c r="N14" s="11">
        <f>(F15-F14)/F15</f>
        <v>-0.34656319290465631</v>
      </c>
    </row>
    <row r="15" spans="2:14" x14ac:dyDescent="0.2">
      <c r="B15" s="50"/>
      <c r="C15" s="7" t="s">
        <v>18</v>
      </c>
      <c r="D15" s="34">
        <v>814961</v>
      </c>
      <c r="E15" s="33">
        <v>495235</v>
      </c>
      <c r="F15" s="33">
        <v>4510</v>
      </c>
      <c r="G15" s="34">
        <v>546735</v>
      </c>
      <c r="H15" s="35">
        <v>411271</v>
      </c>
      <c r="I15" s="35" t="s">
        <v>66</v>
      </c>
      <c r="J15" s="13">
        <f>(D15-D15)/D15</f>
        <v>0</v>
      </c>
      <c r="K15" s="13">
        <f>(E15-E15)/E15</f>
        <v>0</v>
      </c>
      <c r="L15" s="13">
        <f>(G15-G15)/G15</f>
        <v>0</v>
      </c>
      <c r="M15" s="28">
        <f>(H15-H15)/H15</f>
        <v>0</v>
      </c>
      <c r="N15" s="13">
        <f>(F15-F15)/F15</f>
        <v>0</v>
      </c>
    </row>
    <row r="16" spans="2:14" x14ac:dyDescent="0.2">
      <c r="B16" s="50"/>
      <c r="C16" s="7" t="s">
        <v>21</v>
      </c>
      <c r="D16" s="34">
        <v>848836</v>
      </c>
      <c r="E16" s="33">
        <v>369821</v>
      </c>
      <c r="F16" s="33">
        <v>3869</v>
      </c>
      <c r="G16" s="34">
        <v>550306</v>
      </c>
      <c r="H16" s="35">
        <v>397994</v>
      </c>
      <c r="I16" s="35" t="s">
        <v>67</v>
      </c>
      <c r="J16" s="13">
        <f>(D15-D16)/D15</f>
        <v>-4.1566406245206827E-2</v>
      </c>
      <c r="K16" s="13">
        <f>(E15-E16)/E15</f>
        <v>0.25324139045099803</v>
      </c>
      <c r="L16" s="13">
        <f>(G15-G16)/G15</f>
        <v>-6.5315006355912827E-3</v>
      </c>
      <c r="M16" s="28">
        <f>(H15-H16)/H15</f>
        <v>3.2282849994286003E-2</v>
      </c>
      <c r="N16" s="17">
        <f>(F15-F16)/F15</f>
        <v>0.14212860310421285</v>
      </c>
    </row>
    <row r="17" spans="2:14" x14ac:dyDescent="0.2">
      <c r="B17" s="51"/>
      <c r="C17" s="5" t="s">
        <v>22</v>
      </c>
      <c r="D17" s="41">
        <v>811645</v>
      </c>
      <c r="E17" s="44">
        <v>450004</v>
      </c>
      <c r="F17" s="44">
        <v>426029</v>
      </c>
      <c r="G17" s="41">
        <v>546086</v>
      </c>
      <c r="H17" s="42">
        <v>408495</v>
      </c>
      <c r="I17" s="46">
        <v>2.6486111111111111E-3</v>
      </c>
      <c r="J17" s="15">
        <f>(D15-D17)/D15</f>
        <v>4.068906364844453E-3</v>
      </c>
      <c r="K17" s="15">
        <f>(E15-E17)/E15</f>
        <v>9.1332397750562858E-2</v>
      </c>
      <c r="L17" s="15">
        <f>(G15-G17)/G15</f>
        <v>1.1870467411085809E-3</v>
      </c>
      <c r="M17" s="29">
        <f>(H15-H17)/H15</f>
        <v>6.7498073046725884E-3</v>
      </c>
      <c r="N17" s="15">
        <f>(F15-F17)/F15</f>
        <v>-93.463192904656324</v>
      </c>
    </row>
  </sheetData>
  <mergeCells count="17">
    <mergeCell ref="L2:L3"/>
    <mergeCell ref="B6:B9"/>
    <mergeCell ref="B10:B13"/>
    <mergeCell ref="B14:B17"/>
    <mergeCell ref="M2:M3"/>
    <mergeCell ref="D4:D5"/>
    <mergeCell ref="E4:E5"/>
    <mergeCell ref="F4:F5"/>
    <mergeCell ref="G4:G5"/>
    <mergeCell ref="H4:H5"/>
    <mergeCell ref="I4:I5"/>
    <mergeCell ref="J4:J5"/>
    <mergeCell ref="D2:F3"/>
    <mergeCell ref="G2:H3"/>
    <mergeCell ref="I2:I3"/>
    <mergeCell ref="J2:J3"/>
    <mergeCell ref="K2:K3"/>
  </mergeCells>
  <conditionalFormatting sqref="J6:N17">
    <cfRule type="cellIs" dxfId="5" priority="1" operator="greaterThan">
      <formula>0</formula>
    </cfRule>
  </conditionalFormatting>
  <pageMargins left="0.7" right="0.7" top="0.75" bottom="0.75" header="0.3" footer="0.3"/>
  <pageSetup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0902F-B618-994E-A58C-948C5F5F54C6}">
  <dimension ref="B1:N17"/>
  <sheetViews>
    <sheetView zoomScale="120" zoomScaleNormal="120" workbookViewId="0">
      <selection activeCell="D15" sqref="D15"/>
    </sheetView>
  </sheetViews>
  <sheetFormatPr baseColWidth="10" defaultRowHeight="16" x14ac:dyDescent="0.2"/>
  <cols>
    <col min="4" max="4" width="13.83203125" bestFit="1" customWidth="1"/>
    <col min="5" max="5" width="9.33203125" bestFit="1" customWidth="1"/>
    <col min="6" max="6" width="12" bestFit="1" customWidth="1"/>
    <col min="7" max="7" width="13.83203125" bestFit="1" customWidth="1"/>
    <col min="8" max="8" width="9.33203125" bestFit="1" customWidth="1"/>
    <col min="9" max="9" width="12.5" bestFit="1" customWidth="1"/>
    <col min="10" max="10" width="27.5" bestFit="1" customWidth="1"/>
    <col min="11" max="11" width="26.1640625" bestFit="1" customWidth="1"/>
    <col min="12" max="12" width="27.5" bestFit="1" customWidth="1"/>
    <col min="13" max="13" width="26.1640625" bestFit="1" customWidth="1"/>
    <col min="14" max="14" width="19.1640625" bestFit="1" customWidth="1"/>
  </cols>
  <sheetData>
    <row r="1" spans="2:14" x14ac:dyDescent="0.2">
      <c r="D1" s="1"/>
      <c r="I1" s="2"/>
      <c r="J1" s="2"/>
    </row>
    <row r="2" spans="2:14" x14ac:dyDescent="0.2">
      <c r="B2" s="3"/>
      <c r="D2" s="64" t="s">
        <v>0</v>
      </c>
      <c r="E2" s="56"/>
      <c r="F2" s="58"/>
      <c r="G2" s="56" t="s">
        <v>1</v>
      </c>
      <c r="H2" s="56"/>
      <c r="I2" s="60" t="s">
        <v>2</v>
      </c>
      <c r="J2" s="49" t="s">
        <v>3</v>
      </c>
      <c r="K2" s="49" t="s">
        <v>4</v>
      </c>
      <c r="L2" s="49" t="s">
        <v>5</v>
      </c>
      <c r="M2" s="52" t="s">
        <v>6</v>
      </c>
      <c r="N2" s="4" t="s">
        <v>7</v>
      </c>
    </row>
    <row r="3" spans="2:14" x14ac:dyDescent="0.2">
      <c r="B3" s="3"/>
      <c r="D3" s="65"/>
      <c r="E3" s="66"/>
      <c r="F3" s="67"/>
      <c r="G3" s="66"/>
      <c r="H3" s="66"/>
      <c r="I3" s="68"/>
      <c r="J3" s="51"/>
      <c r="K3" s="51"/>
      <c r="L3" s="51"/>
      <c r="M3" s="53"/>
      <c r="N3" s="5" t="s">
        <v>124</v>
      </c>
    </row>
    <row r="4" spans="2:14" x14ac:dyDescent="0.2">
      <c r="B4" s="6" t="s">
        <v>9</v>
      </c>
      <c r="C4" s="19" t="s">
        <v>10</v>
      </c>
      <c r="D4" s="70" t="s">
        <v>11</v>
      </c>
      <c r="E4" s="72" t="s">
        <v>12</v>
      </c>
      <c r="F4" s="74" t="s">
        <v>13</v>
      </c>
      <c r="G4" s="72" t="s">
        <v>14</v>
      </c>
      <c r="H4" s="72" t="s">
        <v>12</v>
      </c>
      <c r="I4" s="80" t="s">
        <v>15</v>
      </c>
      <c r="J4" s="62"/>
      <c r="K4" s="7"/>
      <c r="L4" s="7"/>
      <c r="M4" s="8"/>
      <c r="N4" s="7"/>
    </row>
    <row r="5" spans="2:14" x14ac:dyDescent="0.2">
      <c r="B5" s="9"/>
      <c r="C5" s="8"/>
      <c r="D5" s="70"/>
      <c r="E5" s="72"/>
      <c r="F5" s="74"/>
      <c r="G5" s="72"/>
      <c r="H5" s="72"/>
      <c r="I5" s="81"/>
      <c r="J5" s="63"/>
      <c r="K5" s="5"/>
      <c r="L5" s="5"/>
      <c r="M5" s="10"/>
      <c r="N5" s="7"/>
    </row>
    <row r="6" spans="2:14" x14ac:dyDescent="0.2">
      <c r="B6" s="49" t="s">
        <v>16</v>
      </c>
      <c r="C6" s="19" t="s">
        <v>17</v>
      </c>
      <c r="D6" s="37">
        <v>352352</v>
      </c>
      <c r="E6" s="38">
        <v>160911</v>
      </c>
      <c r="F6" s="39">
        <v>6242</v>
      </c>
      <c r="G6" s="38">
        <v>250927</v>
      </c>
      <c r="H6" s="38">
        <v>136749</v>
      </c>
      <c r="I6" s="40" t="s">
        <v>77</v>
      </c>
      <c r="J6" s="11">
        <f>(D7-D6)/D7</f>
        <v>3.0575158543463606E-2</v>
      </c>
      <c r="K6" s="11">
        <f>(E7-E6)/E7</f>
        <v>4.0002147766323021E-2</v>
      </c>
      <c r="L6" s="11">
        <f>(G7-G6)/G7</f>
        <v>4.6619072405840491E-2</v>
      </c>
      <c r="M6" s="24">
        <f>(H7-H6)/H7</f>
        <v>6.9291499353433608E-2</v>
      </c>
      <c r="N6" s="11">
        <f>(F7-F6)/F7</f>
        <v>-1.7365190705830775</v>
      </c>
    </row>
    <row r="7" spans="2:14" x14ac:dyDescent="0.2">
      <c r="B7" s="50"/>
      <c r="C7" s="8" t="s">
        <v>18</v>
      </c>
      <c r="D7" s="34">
        <v>363465</v>
      </c>
      <c r="E7" s="33">
        <v>167616</v>
      </c>
      <c r="F7" s="35">
        <v>2281</v>
      </c>
      <c r="G7" s="33">
        <v>263197</v>
      </c>
      <c r="H7" s="33">
        <v>146930</v>
      </c>
      <c r="I7" s="36" t="s">
        <v>78</v>
      </c>
      <c r="J7" s="13">
        <f>(D7-D7)/D7</f>
        <v>0</v>
      </c>
      <c r="K7" s="13">
        <f>(E7-E7)/E7</f>
        <v>0</v>
      </c>
      <c r="L7" s="13">
        <f>(G7-G7)/G7</f>
        <v>0</v>
      </c>
      <c r="M7" s="25">
        <f>(H7-H7)/H7</f>
        <v>0</v>
      </c>
      <c r="N7" s="13">
        <f>(F7-F7)/F7</f>
        <v>0</v>
      </c>
    </row>
    <row r="8" spans="2:14" x14ac:dyDescent="0.2">
      <c r="B8" s="50"/>
      <c r="C8" s="8" t="s">
        <v>21</v>
      </c>
      <c r="D8" s="34">
        <v>366765</v>
      </c>
      <c r="E8" s="33">
        <v>133200</v>
      </c>
      <c r="F8" s="35">
        <v>2027</v>
      </c>
      <c r="G8" s="33">
        <v>260720</v>
      </c>
      <c r="H8" s="33">
        <v>140752</v>
      </c>
      <c r="I8" s="36" t="s">
        <v>79</v>
      </c>
      <c r="J8" s="13">
        <f>(D7-D8)/D7</f>
        <v>-9.0792786100449829E-3</v>
      </c>
      <c r="K8" s="13">
        <f>(E7-E8)/E7</f>
        <v>0.20532646048109965</v>
      </c>
      <c r="L8" s="13">
        <f>(G7-G8)/G7</f>
        <v>9.4112014954577747E-3</v>
      </c>
      <c r="M8" s="25">
        <f>(H7-H8)/H7</f>
        <v>4.2047233376437759E-2</v>
      </c>
      <c r="N8" s="17">
        <f>(F7-F8)/F7</f>
        <v>0.11135466900482245</v>
      </c>
    </row>
    <row r="9" spans="2:14" x14ac:dyDescent="0.2">
      <c r="B9" s="51"/>
      <c r="C9" s="8" t="s">
        <v>22</v>
      </c>
      <c r="D9" s="34">
        <v>325319</v>
      </c>
      <c r="E9" s="33">
        <v>160950</v>
      </c>
      <c r="F9" s="35">
        <v>303497</v>
      </c>
      <c r="G9" s="33">
        <v>249762</v>
      </c>
      <c r="H9" s="33">
        <v>146199</v>
      </c>
      <c r="I9" s="36" t="s">
        <v>80</v>
      </c>
      <c r="J9" s="15">
        <f>(D7-D9)/D7</f>
        <v>0.10495095813902301</v>
      </c>
      <c r="K9" s="15">
        <f>(E7-E9)/E7</f>
        <v>3.9769473081328749E-2</v>
      </c>
      <c r="L9" s="15">
        <f>(G7-G9)/G7</f>
        <v>5.1045414651382806E-2</v>
      </c>
      <c r="M9" s="26">
        <f>(H7-H9)/H7</f>
        <v>4.9751582386170284E-3</v>
      </c>
      <c r="N9" s="15">
        <f>(F7-F9)/F7</f>
        <v>-132.05436212187638</v>
      </c>
    </row>
    <row r="10" spans="2:14" x14ac:dyDescent="0.2">
      <c r="B10" s="49" t="s">
        <v>19</v>
      </c>
      <c r="C10" s="19" t="s">
        <v>17</v>
      </c>
      <c r="D10" s="37">
        <v>355439</v>
      </c>
      <c r="E10" s="38">
        <v>147380</v>
      </c>
      <c r="F10" s="39">
        <v>2965</v>
      </c>
      <c r="G10" s="38">
        <v>255895</v>
      </c>
      <c r="H10" s="38">
        <v>126717</v>
      </c>
      <c r="I10" s="40" t="s">
        <v>81</v>
      </c>
      <c r="J10" s="11">
        <f>(D11-D10)/D11</f>
        <v>5.5536281838936387E-3</v>
      </c>
      <c r="K10" s="11">
        <f>(E11-E10)/E11</f>
        <v>6.0130477204752279E-2</v>
      </c>
      <c r="L10" s="11">
        <f>(G11-G10)/G11</f>
        <v>2.8651359117532065E-2</v>
      </c>
      <c r="M10" s="27">
        <f>(H11-H10)/H11</f>
        <v>8.3659951115803474E-2</v>
      </c>
      <c r="N10" s="11">
        <f>(F11-F10)/F11</f>
        <v>-0.54668753260302561</v>
      </c>
    </row>
    <row r="11" spans="2:14" x14ac:dyDescent="0.2">
      <c r="B11" s="50"/>
      <c r="C11" s="8" t="s">
        <v>18</v>
      </c>
      <c r="D11" s="34">
        <v>357424</v>
      </c>
      <c r="E11" s="33">
        <v>156809</v>
      </c>
      <c r="F11" s="35">
        <v>1917</v>
      </c>
      <c r="G11" s="33">
        <v>263443</v>
      </c>
      <c r="H11" s="33">
        <v>138286</v>
      </c>
      <c r="I11" s="36" t="s">
        <v>82</v>
      </c>
      <c r="J11" s="13">
        <f>(D11-D11)/D11</f>
        <v>0</v>
      </c>
      <c r="K11" s="13">
        <f>(E11-E11)/E11</f>
        <v>0</v>
      </c>
      <c r="L11" s="13">
        <f>(G11-G11)/G11</f>
        <v>0</v>
      </c>
      <c r="M11" s="28">
        <f>(H11-H11)/H11</f>
        <v>0</v>
      </c>
      <c r="N11" s="13">
        <f>(F11-F11)/F11</f>
        <v>0</v>
      </c>
    </row>
    <row r="12" spans="2:14" x14ac:dyDescent="0.2">
      <c r="B12" s="50"/>
      <c r="C12" s="8" t="s">
        <v>21</v>
      </c>
      <c r="D12" s="34">
        <v>361498</v>
      </c>
      <c r="E12" s="33">
        <v>118077</v>
      </c>
      <c r="F12" s="35">
        <v>1087</v>
      </c>
      <c r="G12" s="33">
        <v>259260</v>
      </c>
      <c r="H12" s="33">
        <v>130655</v>
      </c>
      <c r="I12" s="36" t="s">
        <v>83</v>
      </c>
      <c r="J12" s="13">
        <f>(D11-D12)/D11</f>
        <v>-1.1398227315457272E-2</v>
      </c>
      <c r="K12" s="13">
        <f>(E11-E12)/E11</f>
        <v>0.24700112876174199</v>
      </c>
      <c r="L12" s="13">
        <f>(G11-G12)/G11</f>
        <v>1.5878197560762669E-2</v>
      </c>
      <c r="M12" s="28">
        <f>(H11-H12)/H11</f>
        <v>5.5182737225749533E-2</v>
      </c>
      <c r="N12" s="17">
        <f>(F11-F12)/F11</f>
        <v>0.43296817944705268</v>
      </c>
    </row>
    <row r="13" spans="2:14" x14ac:dyDescent="0.2">
      <c r="B13" s="51"/>
      <c r="C13" s="10" t="s">
        <v>22</v>
      </c>
      <c r="D13" s="41">
        <v>326680</v>
      </c>
      <c r="E13" s="44">
        <v>149835</v>
      </c>
      <c r="F13" s="42">
        <v>2208</v>
      </c>
      <c r="G13" s="33">
        <v>253361</v>
      </c>
      <c r="H13" s="33">
        <v>135977</v>
      </c>
      <c r="I13" s="43" t="s">
        <v>84</v>
      </c>
      <c r="J13" s="15">
        <f>(D11-D13)/D11</f>
        <v>8.6015488607368282E-2</v>
      </c>
      <c r="K13" s="15">
        <f>(E11-E13)/E11</f>
        <v>4.4474488071475492E-2</v>
      </c>
      <c r="L13" s="15">
        <f>(G11-G13)/G11</f>
        <v>3.8270138132347413E-2</v>
      </c>
      <c r="M13" s="29">
        <f>(H11-H13)/H11</f>
        <v>1.6697279551075309E-2</v>
      </c>
      <c r="N13" s="15">
        <f>(F11-F13)/F11</f>
        <v>-0.15179968701095461</v>
      </c>
    </row>
    <row r="14" spans="2:14" x14ac:dyDescent="0.2">
      <c r="B14" s="49" t="s">
        <v>20</v>
      </c>
      <c r="C14" s="8" t="s">
        <v>17</v>
      </c>
      <c r="D14" s="37">
        <v>841337</v>
      </c>
      <c r="E14" s="38">
        <v>449872</v>
      </c>
      <c r="F14" s="39">
        <v>4754</v>
      </c>
      <c r="G14" s="38">
        <v>546551</v>
      </c>
      <c r="H14" s="39">
        <v>385496</v>
      </c>
      <c r="I14" s="36" t="s">
        <v>85</v>
      </c>
      <c r="J14" s="11">
        <f>(D15-D14)/D15</f>
        <v>-3.2364738926157204E-2</v>
      </c>
      <c r="K14" s="11">
        <f>(E15-E14)/E15</f>
        <v>9.1598937877977127E-2</v>
      </c>
      <c r="L14" s="11">
        <f>(G15-G14)/G15</f>
        <v>3.3654329794141586E-4</v>
      </c>
      <c r="M14" s="27">
        <f>(H15-H14)/H15</f>
        <v>6.2671571785999983E-2</v>
      </c>
      <c r="N14" s="11">
        <f>(F15-F14)/F15</f>
        <v>-0.17122443951712243</v>
      </c>
    </row>
    <row r="15" spans="2:14" x14ac:dyDescent="0.2">
      <c r="B15" s="50"/>
      <c r="C15" s="8" t="s">
        <v>18</v>
      </c>
      <c r="D15" s="34">
        <v>814961</v>
      </c>
      <c r="E15" s="33">
        <v>495235</v>
      </c>
      <c r="F15" s="35">
        <v>4059</v>
      </c>
      <c r="G15" s="33">
        <v>546735</v>
      </c>
      <c r="H15" s="35">
        <v>411271</v>
      </c>
      <c r="I15" s="36" t="s">
        <v>86</v>
      </c>
      <c r="J15" s="13">
        <f>(D15-D15)/D15</f>
        <v>0</v>
      </c>
      <c r="K15" s="13">
        <f>(E15-E15)/E15</f>
        <v>0</v>
      </c>
      <c r="L15" s="13">
        <f>(G15-G15)/G15</f>
        <v>0</v>
      </c>
      <c r="M15" s="28">
        <f>(H15-H15)/H15</f>
        <v>0</v>
      </c>
      <c r="N15" s="13">
        <f>(F15-F15)/F15</f>
        <v>0</v>
      </c>
    </row>
    <row r="16" spans="2:14" x14ac:dyDescent="0.2">
      <c r="B16" s="50"/>
      <c r="C16" s="8" t="s">
        <v>21</v>
      </c>
      <c r="D16" s="34">
        <v>848836</v>
      </c>
      <c r="E16" s="33">
        <v>369821</v>
      </c>
      <c r="F16" s="35">
        <v>4347</v>
      </c>
      <c r="G16" s="33">
        <v>550306</v>
      </c>
      <c r="H16" s="35">
        <v>397994</v>
      </c>
      <c r="I16" s="36" t="s">
        <v>87</v>
      </c>
      <c r="J16" s="13">
        <f>(D15-D16)/D15</f>
        <v>-4.1566406245206827E-2</v>
      </c>
      <c r="K16" s="13">
        <f>(E15-E16)/E15</f>
        <v>0.25324139045099803</v>
      </c>
      <c r="L16" s="13">
        <f>(G15-G16)/G15</f>
        <v>-6.5315006355912827E-3</v>
      </c>
      <c r="M16" s="28">
        <f>(H15-H16)/H15</f>
        <v>3.2282849994286003E-2</v>
      </c>
      <c r="N16" s="17">
        <f>(F15-F16)/F15</f>
        <v>-7.0953436807095344E-2</v>
      </c>
    </row>
    <row r="17" spans="2:14" x14ac:dyDescent="0.2">
      <c r="B17" s="51"/>
      <c r="C17" s="10" t="s">
        <v>22</v>
      </c>
      <c r="D17" s="41">
        <v>744351</v>
      </c>
      <c r="E17" s="44">
        <v>462633</v>
      </c>
      <c r="F17" s="42">
        <v>3800</v>
      </c>
      <c r="G17" s="44">
        <v>541763</v>
      </c>
      <c r="H17" s="42">
        <v>405304</v>
      </c>
      <c r="I17" s="43" t="s">
        <v>88</v>
      </c>
      <c r="J17" s="15">
        <f>(D15-D17)/D15</f>
        <v>8.6642182877462851E-2</v>
      </c>
      <c r="K17" s="15">
        <f>(E15-E17)/E15</f>
        <v>6.5831372984542696E-2</v>
      </c>
      <c r="L17" s="15">
        <f>(G15-G17)/G15</f>
        <v>9.0939852030691281E-3</v>
      </c>
      <c r="M17" s="29">
        <f>(H15-H17)/H15</f>
        <v>1.4508681623552353E-2</v>
      </c>
      <c r="N17" s="15">
        <f>(F15-F17)/F15</f>
        <v>6.3808819906380876E-2</v>
      </c>
    </row>
  </sheetData>
  <mergeCells count="17">
    <mergeCell ref="L2:L3"/>
    <mergeCell ref="B6:B9"/>
    <mergeCell ref="B10:B13"/>
    <mergeCell ref="B14:B17"/>
    <mergeCell ref="M2:M3"/>
    <mergeCell ref="D4:D5"/>
    <mergeCell ref="E4:E5"/>
    <mergeCell ref="F4:F5"/>
    <mergeCell ref="G4:G5"/>
    <mergeCell ref="H4:H5"/>
    <mergeCell ref="I4:I5"/>
    <mergeCell ref="J4:J5"/>
    <mergeCell ref="D2:F3"/>
    <mergeCell ref="G2:H3"/>
    <mergeCell ref="I2:I3"/>
    <mergeCell ref="J2:J3"/>
    <mergeCell ref="K2:K3"/>
  </mergeCells>
  <conditionalFormatting sqref="J6:N17">
    <cfRule type="cellIs" dxfId="4" priority="1" operator="greaterThan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338E7-A59D-8A45-B88E-6D12EE68AEE1}">
  <dimension ref="B1:N17"/>
  <sheetViews>
    <sheetView zoomScale="120" zoomScaleNormal="120" workbookViewId="0">
      <selection activeCell="D19" sqref="D19"/>
    </sheetView>
  </sheetViews>
  <sheetFormatPr baseColWidth="10" defaultRowHeight="16" x14ac:dyDescent="0.2"/>
  <cols>
    <col min="4" max="4" width="13.83203125" bestFit="1" customWidth="1"/>
    <col min="5" max="5" width="9.33203125" bestFit="1" customWidth="1"/>
    <col min="6" max="6" width="12" bestFit="1" customWidth="1"/>
    <col min="7" max="7" width="13.83203125" bestFit="1" customWidth="1"/>
    <col min="8" max="8" width="9.33203125" bestFit="1" customWidth="1"/>
    <col min="9" max="9" width="12.5" bestFit="1" customWidth="1"/>
    <col min="10" max="10" width="27.5" bestFit="1" customWidth="1"/>
    <col min="11" max="11" width="26.1640625" bestFit="1" customWidth="1"/>
    <col min="12" max="12" width="27.5" bestFit="1" customWidth="1"/>
    <col min="13" max="13" width="26.1640625" bestFit="1" customWidth="1"/>
    <col min="14" max="14" width="19.1640625" bestFit="1" customWidth="1"/>
  </cols>
  <sheetData>
    <row r="1" spans="2:14" x14ac:dyDescent="0.2">
      <c r="D1" s="1"/>
      <c r="I1" s="2"/>
      <c r="J1" s="2"/>
    </row>
    <row r="2" spans="2:14" x14ac:dyDescent="0.2">
      <c r="B2" s="3"/>
      <c r="D2" s="64" t="s">
        <v>0</v>
      </c>
      <c r="E2" s="56"/>
      <c r="F2" s="56"/>
      <c r="G2" s="64" t="s">
        <v>1</v>
      </c>
      <c r="H2" s="58"/>
      <c r="I2" s="77" t="s">
        <v>2</v>
      </c>
      <c r="J2" s="49" t="s">
        <v>3</v>
      </c>
      <c r="K2" s="49" t="s">
        <v>4</v>
      </c>
      <c r="L2" s="49" t="s">
        <v>5</v>
      </c>
      <c r="M2" s="52" t="s">
        <v>6</v>
      </c>
      <c r="N2" s="4" t="s">
        <v>7</v>
      </c>
    </row>
    <row r="3" spans="2:14" x14ac:dyDescent="0.2">
      <c r="B3" s="3"/>
      <c r="D3" s="65"/>
      <c r="E3" s="66"/>
      <c r="F3" s="66"/>
      <c r="G3" s="65"/>
      <c r="H3" s="67"/>
      <c r="I3" s="79"/>
      <c r="J3" s="51"/>
      <c r="K3" s="51"/>
      <c r="L3" s="51"/>
      <c r="M3" s="53"/>
      <c r="N3" s="5" t="s">
        <v>124</v>
      </c>
    </row>
    <row r="4" spans="2:14" x14ac:dyDescent="0.2">
      <c r="B4" s="6" t="s">
        <v>9</v>
      </c>
      <c r="C4" s="19" t="s">
        <v>10</v>
      </c>
      <c r="D4" s="54" t="s">
        <v>11</v>
      </c>
      <c r="E4" s="56" t="s">
        <v>12</v>
      </c>
      <c r="F4" s="58" t="s">
        <v>13</v>
      </c>
      <c r="G4" s="76" t="s">
        <v>14</v>
      </c>
      <c r="H4" s="59" t="s">
        <v>12</v>
      </c>
      <c r="I4" s="77" t="s">
        <v>15</v>
      </c>
      <c r="J4" s="62"/>
      <c r="K4" s="7"/>
      <c r="L4" s="7"/>
      <c r="M4" s="8"/>
      <c r="N4" s="7"/>
    </row>
    <row r="5" spans="2:14" x14ac:dyDescent="0.2">
      <c r="B5" s="9"/>
      <c r="C5" s="8"/>
      <c r="D5" s="55"/>
      <c r="E5" s="57"/>
      <c r="F5" s="59"/>
      <c r="G5" s="76"/>
      <c r="H5" s="59"/>
      <c r="I5" s="78"/>
      <c r="J5" s="63"/>
      <c r="K5" s="5"/>
      <c r="L5" s="5"/>
      <c r="M5" s="10"/>
      <c r="N5" s="7"/>
    </row>
    <row r="6" spans="2:14" x14ac:dyDescent="0.2">
      <c r="B6" s="49" t="s">
        <v>16</v>
      </c>
      <c r="C6" s="19" t="s">
        <v>17</v>
      </c>
      <c r="D6" s="19">
        <v>352352</v>
      </c>
      <c r="E6" s="20">
        <v>160911</v>
      </c>
      <c r="F6" s="21">
        <v>8678</v>
      </c>
      <c r="G6" s="19">
        <v>250927</v>
      </c>
      <c r="H6" s="21">
        <v>136749</v>
      </c>
      <c r="I6" s="21" t="s">
        <v>100</v>
      </c>
      <c r="J6" s="11">
        <f>(D7-D6)/D7</f>
        <v>3.0575158543463606E-2</v>
      </c>
      <c r="K6" s="11">
        <f>(E7-E6)/E7</f>
        <v>4.0002147766323021E-2</v>
      </c>
      <c r="L6" s="11">
        <f>(G7-G6)/G7</f>
        <v>4.6619072405840491E-2</v>
      </c>
      <c r="M6" s="24">
        <f>(H7-H6)/H7</f>
        <v>6.9291499353433608E-2</v>
      </c>
      <c r="N6" s="11">
        <f>(F7-F6)/F7</f>
        <v>-2.8620382732532264</v>
      </c>
    </row>
    <row r="7" spans="2:14" x14ac:dyDescent="0.2">
      <c r="B7" s="50"/>
      <c r="C7" s="8" t="s">
        <v>18</v>
      </c>
      <c r="D7" s="8">
        <v>363465</v>
      </c>
      <c r="E7">
        <v>167616</v>
      </c>
      <c r="F7" s="18">
        <v>2247</v>
      </c>
      <c r="G7" s="8">
        <v>263197</v>
      </c>
      <c r="H7" s="18">
        <v>146930</v>
      </c>
      <c r="I7" s="18" t="s">
        <v>101</v>
      </c>
      <c r="J7" s="13">
        <f>(D7-D7)/D7</f>
        <v>0</v>
      </c>
      <c r="K7" s="13">
        <f>(E7-E7)/E7</f>
        <v>0</v>
      </c>
      <c r="L7" s="13">
        <f>(G7-G7)/G7</f>
        <v>0</v>
      </c>
      <c r="M7" s="25">
        <f>(H7-H7)/H7</f>
        <v>0</v>
      </c>
      <c r="N7" s="13">
        <f>(F7-F7)/F7</f>
        <v>0</v>
      </c>
    </row>
    <row r="8" spans="2:14" x14ac:dyDescent="0.2">
      <c r="B8" s="50"/>
      <c r="C8" s="8" t="s">
        <v>21</v>
      </c>
      <c r="D8" s="8">
        <v>366765</v>
      </c>
      <c r="E8">
        <v>133200</v>
      </c>
      <c r="F8" s="18">
        <v>1420</v>
      </c>
      <c r="G8" s="8">
        <v>260720</v>
      </c>
      <c r="H8" s="18">
        <v>140752</v>
      </c>
      <c r="I8" s="18" t="s">
        <v>102</v>
      </c>
      <c r="J8" s="13">
        <f>(D7-D8)/D7</f>
        <v>-9.0792786100449829E-3</v>
      </c>
      <c r="K8" s="13">
        <f>(E7-E8)/E7</f>
        <v>0.20532646048109965</v>
      </c>
      <c r="L8" s="13">
        <f>(G7-G8)/G7</f>
        <v>9.4112014954577747E-3</v>
      </c>
      <c r="M8" s="25">
        <f>(H7-H8)/H7</f>
        <v>4.2047233376437759E-2</v>
      </c>
      <c r="N8" s="17">
        <f>(F7-F8)/F7</f>
        <v>0.36804628393413441</v>
      </c>
    </row>
    <row r="9" spans="2:14" x14ac:dyDescent="0.2">
      <c r="B9" s="51"/>
      <c r="C9" s="8" t="s">
        <v>22</v>
      </c>
      <c r="D9" s="8">
        <v>325443</v>
      </c>
      <c r="E9">
        <v>159075</v>
      </c>
      <c r="F9" s="18">
        <v>94466</v>
      </c>
      <c r="G9" s="8">
        <v>249162</v>
      </c>
      <c r="H9" s="18">
        <v>145351</v>
      </c>
      <c r="I9" s="18" t="s">
        <v>103</v>
      </c>
      <c r="J9" s="15">
        <f>(D7-D9)/D7</f>
        <v>0.10460979736700921</v>
      </c>
      <c r="K9" s="15">
        <f>(E7-E9)/E7</f>
        <v>5.0955756013745704E-2</v>
      </c>
      <c r="L9" s="15">
        <f>(G7-G9)/G7</f>
        <v>5.3325075893722193E-2</v>
      </c>
      <c r="M9" s="26">
        <f>(H7-H9)/H7</f>
        <v>1.0746614033893691E-2</v>
      </c>
      <c r="N9" s="15">
        <f>(F7-F9)/F7</f>
        <v>-41.040943480195814</v>
      </c>
    </row>
    <row r="10" spans="2:14" x14ac:dyDescent="0.2">
      <c r="B10" s="49" t="s">
        <v>19</v>
      </c>
      <c r="C10" s="19" t="s">
        <v>17</v>
      </c>
      <c r="D10" s="19">
        <v>355439</v>
      </c>
      <c r="E10" s="20">
        <v>147380</v>
      </c>
      <c r="F10" s="21">
        <v>2963</v>
      </c>
      <c r="G10" s="19">
        <v>255895</v>
      </c>
      <c r="H10" s="21">
        <v>126717</v>
      </c>
      <c r="I10" s="21" t="s">
        <v>104</v>
      </c>
      <c r="J10" s="11">
        <f>(D11-D10)/D11</f>
        <v>5.5536281838936387E-3</v>
      </c>
      <c r="K10" s="11">
        <f>(E11-E10)/E11</f>
        <v>6.0130477204752279E-2</v>
      </c>
      <c r="L10" s="11">
        <f>(G11-G10)/G11</f>
        <v>2.8651359117532065E-2</v>
      </c>
      <c r="M10" s="27">
        <f>(H11-H10)/H11</f>
        <v>8.3659951115803474E-2</v>
      </c>
      <c r="N10" s="11">
        <f>(F11-F10)/F11</f>
        <v>-0.3407239819004525</v>
      </c>
    </row>
    <row r="11" spans="2:14" x14ac:dyDescent="0.2">
      <c r="B11" s="50"/>
      <c r="C11" s="8" t="s">
        <v>18</v>
      </c>
      <c r="D11" s="8">
        <v>357424</v>
      </c>
      <c r="E11">
        <v>156809</v>
      </c>
      <c r="F11" s="18">
        <v>2210</v>
      </c>
      <c r="G11" s="8">
        <v>263443</v>
      </c>
      <c r="H11" s="18">
        <v>138286</v>
      </c>
      <c r="I11" s="18" t="s">
        <v>105</v>
      </c>
      <c r="J11" s="13">
        <f>(D11-D11)/D11</f>
        <v>0</v>
      </c>
      <c r="K11" s="13">
        <f>(E11-E11)/E11</f>
        <v>0</v>
      </c>
      <c r="L11" s="13">
        <f>(G11-G11)/G11</f>
        <v>0</v>
      </c>
      <c r="M11" s="28">
        <f>(H11-H11)/H11</f>
        <v>0</v>
      </c>
      <c r="N11" s="13">
        <f>(F11-F11)/F11</f>
        <v>0</v>
      </c>
    </row>
    <row r="12" spans="2:14" x14ac:dyDescent="0.2">
      <c r="B12" s="50"/>
      <c r="C12" s="8" t="s">
        <v>21</v>
      </c>
      <c r="D12" s="8">
        <v>361498</v>
      </c>
      <c r="E12">
        <v>118077</v>
      </c>
      <c r="F12" s="18">
        <v>2166</v>
      </c>
      <c r="G12" s="8">
        <v>259260</v>
      </c>
      <c r="H12" s="18">
        <v>130655</v>
      </c>
      <c r="I12" s="18" t="s">
        <v>106</v>
      </c>
      <c r="J12" s="13">
        <f>(D11-D12)/D11</f>
        <v>-1.1398227315457272E-2</v>
      </c>
      <c r="K12" s="13">
        <f>(E11-E12)/E11</f>
        <v>0.24700112876174199</v>
      </c>
      <c r="L12" s="13">
        <f>(G11-G12)/G11</f>
        <v>1.5878197560762669E-2</v>
      </c>
      <c r="M12" s="28">
        <f>(H11-H12)/H11</f>
        <v>5.5182737225749533E-2</v>
      </c>
      <c r="N12" s="17">
        <f>(F11-F12)/F11</f>
        <v>1.9909502262443438E-2</v>
      </c>
    </row>
    <row r="13" spans="2:14" x14ac:dyDescent="0.2">
      <c r="B13" s="51"/>
      <c r="C13" s="10" t="s">
        <v>22</v>
      </c>
      <c r="D13" s="10">
        <v>328150</v>
      </c>
      <c r="E13" s="22">
        <v>150428</v>
      </c>
      <c r="F13" s="23">
        <v>154157</v>
      </c>
      <c r="G13" s="10">
        <v>253200</v>
      </c>
      <c r="H13" s="23">
        <v>135756</v>
      </c>
      <c r="I13" s="23" t="s">
        <v>107</v>
      </c>
      <c r="J13" s="15">
        <f>(D11-D13)/D11</f>
        <v>8.1902726173955859E-2</v>
      </c>
      <c r="K13" s="15">
        <f>(E11-E13)/E11</f>
        <v>4.0692817376553642E-2</v>
      </c>
      <c r="L13" s="15">
        <f>(G11-G13)/G11</f>
        <v>3.8881276025553912E-2</v>
      </c>
      <c r="M13" s="29">
        <f>(H11-H13)/H11</f>
        <v>1.8295416745006725E-2</v>
      </c>
      <c r="N13" s="15">
        <f>(F11-F13)/F11</f>
        <v>-68.754298642533939</v>
      </c>
    </row>
    <row r="14" spans="2:14" x14ac:dyDescent="0.2">
      <c r="B14" s="49" t="s">
        <v>20</v>
      </c>
      <c r="C14" s="8" t="s">
        <v>17</v>
      </c>
      <c r="D14" s="19">
        <v>841337</v>
      </c>
      <c r="E14" s="20">
        <v>449872</v>
      </c>
      <c r="F14" s="21">
        <v>5077</v>
      </c>
      <c r="G14" s="19">
        <v>546551</v>
      </c>
      <c r="H14" s="21">
        <v>385496</v>
      </c>
      <c r="I14" s="18" t="s">
        <v>108</v>
      </c>
      <c r="J14" s="11">
        <f>(D15-D14)/D15</f>
        <v>-3.2364738926157204E-2</v>
      </c>
      <c r="K14" s="11">
        <f>(E15-E14)/E15</f>
        <v>9.1598937877977127E-2</v>
      </c>
      <c r="L14" s="11">
        <f>(G15-G14)/G15</f>
        <v>3.3654329794141586E-4</v>
      </c>
      <c r="M14" s="27">
        <f>(H15-H14)/H15</f>
        <v>6.2671571785999983E-2</v>
      </c>
      <c r="N14" s="11">
        <f>(F15-F14)/F15</f>
        <v>-0.33045073375262052</v>
      </c>
    </row>
    <row r="15" spans="2:14" x14ac:dyDescent="0.2">
      <c r="B15" s="50"/>
      <c r="C15" s="8" t="s">
        <v>18</v>
      </c>
      <c r="D15" s="8">
        <v>814961</v>
      </c>
      <c r="E15">
        <v>495235</v>
      </c>
      <c r="F15" s="18">
        <v>3816</v>
      </c>
      <c r="G15" s="8">
        <v>546735</v>
      </c>
      <c r="H15" s="18">
        <v>411271</v>
      </c>
      <c r="I15" s="18" t="s">
        <v>109</v>
      </c>
      <c r="J15" s="13">
        <f>(D15-D15)/D15</f>
        <v>0</v>
      </c>
      <c r="K15" s="13">
        <f>(E15-E15)/E15</f>
        <v>0</v>
      </c>
      <c r="L15" s="13">
        <f>(G15-G15)/G15</f>
        <v>0</v>
      </c>
      <c r="M15" s="28">
        <f>(H15-H15)/H15</f>
        <v>0</v>
      </c>
      <c r="N15" s="13">
        <f>(F15-F15)/F15</f>
        <v>0</v>
      </c>
    </row>
    <row r="16" spans="2:14" x14ac:dyDescent="0.2">
      <c r="B16" s="50"/>
      <c r="C16" s="8" t="s">
        <v>21</v>
      </c>
      <c r="D16" s="8">
        <v>848836</v>
      </c>
      <c r="E16">
        <v>369821</v>
      </c>
      <c r="F16" s="18">
        <v>3950</v>
      </c>
      <c r="G16" s="8">
        <v>550306</v>
      </c>
      <c r="H16" s="18">
        <v>397994</v>
      </c>
      <c r="I16" s="18" t="s">
        <v>110</v>
      </c>
      <c r="J16" s="13">
        <f>(D15-D16)/D15</f>
        <v>-4.1566406245206827E-2</v>
      </c>
      <c r="K16" s="13">
        <f>(E15-E16)/E15</f>
        <v>0.25324139045099803</v>
      </c>
      <c r="L16" s="13">
        <f>(G15-G16)/G15</f>
        <v>-6.5315006355912827E-3</v>
      </c>
      <c r="M16" s="28">
        <f>(H15-H16)/H15</f>
        <v>3.2282849994286003E-2</v>
      </c>
      <c r="N16" s="17">
        <f>(F15-F16)/F15</f>
        <v>-3.5115303983228513E-2</v>
      </c>
    </row>
    <row r="17" spans="2:14" x14ac:dyDescent="0.2">
      <c r="B17" s="51"/>
      <c r="C17" s="10" t="s">
        <v>22</v>
      </c>
      <c r="D17" s="41">
        <v>744811</v>
      </c>
      <c r="E17" s="44">
        <v>466895</v>
      </c>
      <c r="F17" s="42">
        <v>4836</v>
      </c>
      <c r="G17" s="44">
        <v>540627</v>
      </c>
      <c r="H17" s="42">
        <v>404137</v>
      </c>
      <c r="I17" s="42" t="s">
        <v>111</v>
      </c>
      <c r="J17" s="15">
        <f>(D15-D17)/D15</f>
        <v>8.6077738689336047E-2</v>
      </c>
      <c r="K17" s="15">
        <f>(E15-E17)/E15</f>
        <v>5.7225357658485368E-2</v>
      </c>
      <c r="L17" s="15">
        <f>(G15-G17)/G15</f>
        <v>1.1171774259924827E-2</v>
      </c>
      <c r="M17" s="29">
        <f>(H15-H17)/H15</f>
        <v>1.7346226697238561E-2</v>
      </c>
      <c r="N17" s="15">
        <f>(F15-F17)/F15</f>
        <v>-0.26729559748427673</v>
      </c>
    </row>
  </sheetData>
  <mergeCells count="17">
    <mergeCell ref="L2:L3"/>
    <mergeCell ref="B6:B9"/>
    <mergeCell ref="B10:B13"/>
    <mergeCell ref="B14:B17"/>
    <mergeCell ref="M2:M3"/>
    <mergeCell ref="D4:D5"/>
    <mergeCell ref="E4:E5"/>
    <mergeCell ref="F4:F5"/>
    <mergeCell ref="G4:G5"/>
    <mergeCell ref="H4:H5"/>
    <mergeCell ref="I4:I5"/>
    <mergeCell ref="J4:J5"/>
    <mergeCell ref="D2:F3"/>
    <mergeCell ref="G2:H3"/>
    <mergeCell ref="I2:I3"/>
    <mergeCell ref="J2:J3"/>
    <mergeCell ref="K2:K3"/>
  </mergeCells>
  <conditionalFormatting sqref="J6:N17">
    <cfRule type="cellIs" dxfId="3" priority="1" operator="greaterThan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94C3C-1CCB-524E-84C7-F543C76815AF}">
  <dimension ref="B1:N17"/>
  <sheetViews>
    <sheetView zoomScale="120" zoomScaleNormal="120" workbookViewId="0">
      <selection activeCell="D14" sqref="D14"/>
    </sheetView>
  </sheetViews>
  <sheetFormatPr baseColWidth="10" defaultRowHeight="16" x14ac:dyDescent="0.2"/>
  <cols>
    <col min="4" max="4" width="13.83203125" bestFit="1" customWidth="1"/>
    <col min="5" max="5" width="9.33203125" bestFit="1" customWidth="1"/>
    <col min="6" max="6" width="12" bestFit="1" customWidth="1"/>
    <col min="7" max="7" width="13.83203125" bestFit="1" customWidth="1"/>
    <col min="8" max="8" width="9.33203125" bestFit="1" customWidth="1"/>
    <col min="9" max="9" width="12.5" bestFit="1" customWidth="1"/>
    <col min="10" max="10" width="27.5" bestFit="1" customWidth="1"/>
    <col min="11" max="11" width="26.1640625" bestFit="1" customWidth="1"/>
    <col min="12" max="12" width="27.5" bestFit="1" customWidth="1"/>
    <col min="13" max="13" width="26.1640625" bestFit="1" customWidth="1"/>
    <col min="14" max="14" width="19.1640625" bestFit="1" customWidth="1"/>
  </cols>
  <sheetData>
    <row r="1" spans="2:14" x14ac:dyDescent="0.2">
      <c r="D1" s="1"/>
      <c r="I1" s="2"/>
      <c r="J1" s="2"/>
    </row>
    <row r="2" spans="2:14" x14ac:dyDescent="0.2">
      <c r="B2" s="3"/>
      <c r="D2" s="64" t="s">
        <v>0</v>
      </c>
      <c r="E2" s="56"/>
      <c r="F2" s="58"/>
      <c r="G2" s="56" t="s">
        <v>1</v>
      </c>
      <c r="H2" s="56"/>
      <c r="I2" s="60" t="s">
        <v>2</v>
      </c>
      <c r="J2" s="49" t="s">
        <v>3</v>
      </c>
      <c r="K2" s="49" t="s">
        <v>4</v>
      </c>
      <c r="L2" s="49" t="s">
        <v>5</v>
      </c>
      <c r="M2" s="52" t="s">
        <v>6</v>
      </c>
      <c r="N2" s="4" t="s">
        <v>7</v>
      </c>
    </row>
    <row r="3" spans="2:14" x14ac:dyDescent="0.2">
      <c r="B3" s="3"/>
      <c r="D3" s="65"/>
      <c r="E3" s="66"/>
      <c r="F3" s="67"/>
      <c r="G3" s="66"/>
      <c r="H3" s="66"/>
      <c r="I3" s="68"/>
      <c r="J3" s="51"/>
      <c r="K3" s="51"/>
      <c r="L3" s="51"/>
      <c r="M3" s="53"/>
      <c r="N3" s="5" t="s">
        <v>8</v>
      </c>
    </row>
    <row r="4" spans="2:14" x14ac:dyDescent="0.2">
      <c r="B4" s="6" t="s">
        <v>9</v>
      </c>
      <c r="C4" s="19" t="s">
        <v>10</v>
      </c>
      <c r="D4" s="55" t="s">
        <v>11</v>
      </c>
      <c r="E4" s="57" t="s">
        <v>12</v>
      </c>
      <c r="F4" s="59" t="s">
        <v>13</v>
      </c>
      <c r="G4" s="57" t="s">
        <v>14</v>
      </c>
      <c r="H4" s="57" t="s">
        <v>12</v>
      </c>
      <c r="I4" s="60" t="s">
        <v>15</v>
      </c>
      <c r="J4" s="62"/>
      <c r="K4" s="7"/>
      <c r="L4" s="7"/>
      <c r="M4" s="8"/>
      <c r="N4" s="7"/>
    </row>
    <row r="5" spans="2:14" x14ac:dyDescent="0.2">
      <c r="B5" s="9"/>
      <c r="C5" s="8"/>
      <c r="D5" s="55"/>
      <c r="E5" s="57"/>
      <c r="F5" s="59"/>
      <c r="G5" s="57"/>
      <c r="H5" s="57"/>
      <c r="I5" s="61"/>
      <c r="J5" s="63"/>
      <c r="K5" s="5"/>
      <c r="L5" s="5"/>
      <c r="M5" s="10"/>
      <c r="N5" s="7"/>
    </row>
    <row r="6" spans="2:14" x14ac:dyDescent="0.2">
      <c r="B6" s="49" t="s">
        <v>16</v>
      </c>
      <c r="C6" s="20" t="s">
        <v>17</v>
      </c>
      <c r="D6" s="37">
        <v>352352</v>
      </c>
      <c r="E6" s="38">
        <v>160911</v>
      </c>
      <c r="F6" s="39">
        <v>5915</v>
      </c>
      <c r="G6" s="37">
        <v>250927</v>
      </c>
      <c r="H6" s="38">
        <v>136749</v>
      </c>
      <c r="I6" s="40" t="s">
        <v>68</v>
      </c>
      <c r="J6" s="11">
        <f>(D8-D6)/D8</f>
        <v>3.9297642904857336E-2</v>
      </c>
      <c r="K6" s="11">
        <f t="shared" ref="K6" si="0">(E8-E6)/E8</f>
        <v>-0.20804054054054055</v>
      </c>
      <c r="L6" s="11">
        <f>(G8-G6)/G8</f>
        <v>3.7561368517950292E-2</v>
      </c>
      <c r="M6" s="11">
        <f>(H8-H6)/H8</f>
        <v>2.8440093213595544E-2</v>
      </c>
      <c r="N6" s="30">
        <f>(F6-F8)/F8</f>
        <v>3.0513698630136985</v>
      </c>
    </row>
    <row r="7" spans="2:14" x14ac:dyDescent="0.2">
      <c r="B7" s="50"/>
      <c r="C7" t="s">
        <v>18</v>
      </c>
      <c r="D7" s="34">
        <v>363465</v>
      </c>
      <c r="E7" s="33">
        <v>167616</v>
      </c>
      <c r="F7" s="35">
        <v>2398</v>
      </c>
      <c r="G7" s="34">
        <v>263197</v>
      </c>
      <c r="H7" s="33">
        <v>146930</v>
      </c>
      <c r="I7" s="36" t="s">
        <v>69</v>
      </c>
      <c r="J7" s="13">
        <f>(D8-D7)/D8</f>
        <v>8.9975870107562063E-3</v>
      </c>
      <c r="K7" s="13">
        <f t="shared" ref="K7" si="1">(E8-E7)/E8</f>
        <v>-0.2583783783783784</v>
      </c>
      <c r="L7" s="13">
        <f>(G8-G7)/G8</f>
        <v>-9.5006136851795032E-3</v>
      </c>
      <c r="M7" s="13">
        <f>(H8-H7)/H8</f>
        <v>-4.3892804365124473E-2</v>
      </c>
      <c r="N7" s="13">
        <f>(F7-F8)/F8</f>
        <v>0.6424657534246575</v>
      </c>
    </row>
    <row r="8" spans="2:14" x14ac:dyDescent="0.2">
      <c r="B8" s="50"/>
      <c r="C8" t="s">
        <v>21</v>
      </c>
      <c r="D8" s="34">
        <v>366765</v>
      </c>
      <c r="E8" s="33">
        <v>133200</v>
      </c>
      <c r="F8" s="35">
        <v>1460</v>
      </c>
      <c r="G8" s="34">
        <v>260720</v>
      </c>
      <c r="H8" s="33">
        <v>140752</v>
      </c>
      <c r="I8" s="36" t="s">
        <v>70</v>
      </c>
      <c r="J8" s="13">
        <f>(D8-D8)/D8</f>
        <v>0</v>
      </c>
      <c r="K8" s="13">
        <f t="shared" ref="K8" si="2">(E8-E8)/E8</f>
        <v>0</v>
      </c>
      <c r="L8" s="13">
        <f>(G8-G8)/G8</f>
        <v>0</v>
      </c>
      <c r="M8" s="13">
        <f>(H8-H8)/H8</f>
        <v>0</v>
      </c>
      <c r="N8" s="13">
        <f>(F8-F8)/F8</f>
        <v>0</v>
      </c>
    </row>
    <row r="9" spans="2:14" x14ac:dyDescent="0.2">
      <c r="B9" s="50"/>
      <c r="C9" t="s">
        <v>22</v>
      </c>
      <c r="D9" s="34">
        <v>338450</v>
      </c>
      <c r="E9" s="33">
        <v>132838</v>
      </c>
      <c r="F9" s="35">
        <v>833</v>
      </c>
      <c r="G9" s="34">
        <v>253197</v>
      </c>
      <c r="H9" s="33">
        <v>140957</v>
      </c>
      <c r="I9" s="47">
        <v>4.0379629629629628E-3</v>
      </c>
      <c r="J9" s="15">
        <f>(D8-D9)/D8</f>
        <v>7.7202023093806665E-2</v>
      </c>
      <c r="K9" s="15">
        <f t="shared" ref="K9" si="3">(E8-E9)/E8</f>
        <v>2.7177177177177179E-3</v>
      </c>
      <c r="L9" s="15">
        <f>(G8-G9)/G8</f>
        <v>2.8854710033752683E-2</v>
      </c>
      <c r="M9" s="15">
        <f>(H8-H9)/H8</f>
        <v>-1.4564624303739912E-3</v>
      </c>
      <c r="N9" s="15">
        <f>(F8-F9)/F8</f>
        <v>0.42945205479452053</v>
      </c>
    </row>
    <row r="10" spans="2:14" x14ac:dyDescent="0.2">
      <c r="B10" s="49" t="s">
        <v>19</v>
      </c>
      <c r="C10" s="20" t="s">
        <v>17</v>
      </c>
      <c r="D10" s="37">
        <v>355439</v>
      </c>
      <c r="E10" s="38">
        <v>147380</v>
      </c>
      <c r="F10" s="39">
        <v>3076</v>
      </c>
      <c r="G10" s="37">
        <v>255895</v>
      </c>
      <c r="H10" s="38">
        <v>126717</v>
      </c>
      <c r="I10" s="40" t="s">
        <v>71</v>
      </c>
      <c r="J10" s="11">
        <f>(D12-D10)/D12</f>
        <v>1.6760811954699611E-2</v>
      </c>
      <c r="K10" s="11">
        <f t="shared" ref="K10" si="4">(E12-E10)/E12</f>
        <v>-0.24816856796835962</v>
      </c>
      <c r="L10" s="11">
        <f>(G12-G10)/G12</f>
        <v>1.2979248630718199E-2</v>
      </c>
      <c r="M10" s="11">
        <f>(H12-H10)/H12</f>
        <v>3.0140446213309861E-2</v>
      </c>
      <c r="N10" s="31">
        <f>(F10-F12)/F12</f>
        <v>1.7513416815742398</v>
      </c>
    </row>
    <row r="11" spans="2:14" x14ac:dyDescent="0.2">
      <c r="B11" s="50"/>
      <c r="C11" t="s">
        <v>18</v>
      </c>
      <c r="D11" s="34">
        <v>357424</v>
      </c>
      <c r="E11" s="33">
        <v>156809</v>
      </c>
      <c r="F11" s="35">
        <v>1854</v>
      </c>
      <c r="G11" s="34">
        <v>263443</v>
      </c>
      <c r="H11" s="33">
        <v>138286</v>
      </c>
      <c r="I11" s="36" t="s">
        <v>72</v>
      </c>
      <c r="J11" s="13">
        <f>(D12-D11)/D12</f>
        <v>1.1269771893620434E-2</v>
      </c>
      <c r="K11" s="13">
        <f t="shared" ref="K11" si="5">(E12-E11)/E12</f>
        <v>-0.32802323907280845</v>
      </c>
      <c r="L11" s="13">
        <f>(G12-G11)/G12</f>
        <v>-1.6134382473192935E-2</v>
      </c>
      <c r="M11" s="13">
        <f>(H12-H11)/H12</f>
        <v>-5.8405725000956719E-2</v>
      </c>
      <c r="N11" s="13">
        <f>(F11-F12)/F12</f>
        <v>0.65831842576028621</v>
      </c>
    </row>
    <row r="12" spans="2:14" x14ac:dyDescent="0.2">
      <c r="B12" s="50"/>
      <c r="C12" t="s">
        <v>21</v>
      </c>
      <c r="D12" s="34">
        <v>361498</v>
      </c>
      <c r="E12" s="33">
        <v>118077</v>
      </c>
      <c r="F12" s="35">
        <v>1118</v>
      </c>
      <c r="G12" s="34">
        <v>259260</v>
      </c>
      <c r="H12" s="33">
        <v>130655</v>
      </c>
      <c r="I12" s="36" t="s">
        <v>73</v>
      </c>
      <c r="J12" s="13">
        <f>(D12-D12)/D12</f>
        <v>0</v>
      </c>
      <c r="K12" s="13">
        <f t="shared" ref="K12" si="6">(E12-E12)/E12</f>
        <v>0</v>
      </c>
      <c r="L12" s="13">
        <f>(G12-G12)/G12</f>
        <v>0</v>
      </c>
      <c r="M12" s="13">
        <f>(H12-H12)/H12</f>
        <v>0</v>
      </c>
      <c r="N12" s="13">
        <f>(F12-F12)/F12</f>
        <v>0</v>
      </c>
    </row>
    <row r="13" spans="2:14" x14ac:dyDescent="0.2">
      <c r="B13" s="51"/>
      <c r="C13" s="22" t="s">
        <v>22</v>
      </c>
      <c r="D13" s="34">
        <v>347936</v>
      </c>
      <c r="E13" s="33">
        <v>117488</v>
      </c>
      <c r="F13" s="35">
        <v>854</v>
      </c>
      <c r="G13" s="34">
        <v>259580</v>
      </c>
      <c r="H13" s="33">
        <v>133893</v>
      </c>
      <c r="I13" s="47">
        <v>4.2306712962962957E-3</v>
      </c>
      <c r="J13" s="15">
        <f>(D12-D13)/D12</f>
        <v>3.7516113505468907E-2</v>
      </c>
      <c r="K13" s="15">
        <f t="shared" ref="K13" si="7">(E12-E13)/E12</f>
        <v>4.9882703659476441E-3</v>
      </c>
      <c r="L13" s="15">
        <f>(G12-G13)/G12</f>
        <v>-1.2342821877651777E-3</v>
      </c>
      <c r="M13" s="15">
        <f>(H12-H13)/H12</f>
        <v>-2.4782824997129846E-2</v>
      </c>
      <c r="N13" s="15">
        <f>(F12-F13)/F12</f>
        <v>0.23613595706618962</v>
      </c>
    </row>
    <row r="14" spans="2:14" x14ac:dyDescent="0.2">
      <c r="B14" s="50" t="s">
        <v>20</v>
      </c>
      <c r="C14" t="s">
        <v>17</v>
      </c>
      <c r="D14" s="37">
        <v>841337</v>
      </c>
      <c r="E14" s="38">
        <v>449872</v>
      </c>
      <c r="F14" s="39">
        <v>4821</v>
      </c>
      <c r="G14" s="37">
        <v>546551</v>
      </c>
      <c r="H14" s="38">
        <v>385496</v>
      </c>
      <c r="I14" s="40" t="s">
        <v>74</v>
      </c>
      <c r="J14" s="11">
        <f>(D16-D14)/D16</f>
        <v>8.8344509422314792E-3</v>
      </c>
      <c r="K14" s="11">
        <f t="shared" ref="K14" si="8">(E16-E14)/E16</f>
        <v>-0.21645877329843358</v>
      </c>
      <c r="L14" s="11">
        <f>(G16-G14)/G16</f>
        <v>6.8234763931340021E-3</v>
      </c>
      <c r="M14" s="11">
        <f>(H16-H14)/H16</f>
        <v>3.1402483454524441E-2</v>
      </c>
      <c r="N14" s="30">
        <f>(F14-F16)/F16</f>
        <v>0.22050632911392404</v>
      </c>
    </row>
    <row r="15" spans="2:14" x14ac:dyDescent="0.2">
      <c r="B15" s="50"/>
      <c r="C15" t="s">
        <v>18</v>
      </c>
      <c r="D15" s="34">
        <v>814961</v>
      </c>
      <c r="E15" s="33">
        <v>495235</v>
      </c>
      <c r="F15" s="35">
        <v>3895</v>
      </c>
      <c r="G15" s="34">
        <v>546735</v>
      </c>
      <c r="H15" s="33">
        <v>411271</v>
      </c>
      <c r="I15" s="36" t="s">
        <v>75</v>
      </c>
      <c r="J15" s="13">
        <f>(D16-D15)/D16</f>
        <v>3.990759110122568E-2</v>
      </c>
      <c r="K15" s="13">
        <f t="shared" ref="K15" si="9">(E16-E15)/E16</f>
        <v>-0.33912081790920473</v>
      </c>
      <c r="L15" s="13">
        <f>(G16-G15)/G16</f>
        <v>6.4891169640163837E-3</v>
      </c>
      <c r="M15" s="13">
        <f>(H16-H15)/H16</f>
        <v>-3.3359799393960714E-2</v>
      </c>
      <c r="N15" s="13">
        <f>(F15-F16)/F16</f>
        <v>-1.3924050632911392E-2</v>
      </c>
    </row>
    <row r="16" spans="2:14" x14ac:dyDescent="0.2">
      <c r="B16" s="50"/>
      <c r="C16" t="s">
        <v>21</v>
      </c>
      <c r="D16" s="34">
        <v>848836</v>
      </c>
      <c r="E16" s="33">
        <v>369821</v>
      </c>
      <c r="F16" s="35">
        <v>3950</v>
      </c>
      <c r="G16" s="34">
        <v>550306</v>
      </c>
      <c r="H16" s="33">
        <v>397994</v>
      </c>
      <c r="I16" s="36" t="s">
        <v>76</v>
      </c>
      <c r="J16" s="13">
        <f>(D16-D16)/D16</f>
        <v>0</v>
      </c>
      <c r="K16" s="13">
        <f t="shared" ref="K16" si="10">(E16-E16)/E16</f>
        <v>0</v>
      </c>
      <c r="L16" s="13">
        <f>(G16-G16)/G16</f>
        <v>0</v>
      </c>
      <c r="M16" s="13">
        <f>(H16-H16)/H16</f>
        <v>0</v>
      </c>
      <c r="N16" s="13">
        <f>(F16-F16)/F16</f>
        <v>0</v>
      </c>
    </row>
    <row r="17" spans="2:14" x14ac:dyDescent="0.2">
      <c r="B17" s="51"/>
      <c r="C17" s="22" t="s">
        <v>22</v>
      </c>
      <c r="D17" s="41">
        <v>815682</v>
      </c>
      <c r="E17" s="44">
        <v>369017</v>
      </c>
      <c r="F17" s="42">
        <v>2497</v>
      </c>
      <c r="G17" s="41">
        <v>549372</v>
      </c>
      <c r="H17" s="44">
        <v>391197</v>
      </c>
      <c r="I17" s="48">
        <v>5.4678240740740746E-3</v>
      </c>
      <c r="J17" s="15">
        <f>(D16-D17)/D16</f>
        <v>3.9058192630849774E-2</v>
      </c>
      <c r="K17" s="15">
        <f t="shared" ref="K17" si="11">(E16-E17)/E16</f>
        <v>2.1740247308833192E-3</v>
      </c>
      <c r="L17" s="15">
        <f>(G16-G17)/G16</f>
        <v>1.6972375369339967E-3</v>
      </c>
      <c r="M17" s="15">
        <f>(H16-H17)/H16</f>
        <v>1.7078146906737288E-2</v>
      </c>
      <c r="N17" s="15">
        <f>(F16-F17)/F16</f>
        <v>0.36784810126582279</v>
      </c>
    </row>
  </sheetData>
  <mergeCells count="17">
    <mergeCell ref="L2:L3"/>
    <mergeCell ref="B6:B9"/>
    <mergeCell ref="B10:B13"/>
    <mergeCell ref="B14:B17"/>
    <mergeCell ref="M2:M3"/>
    <mergeCell ref="D4:D5"/>
    <mergeCell ref="E4:E5"/>
    <mergeCell ref="F4:F5"/>
    <mergeCell ref="G4:G5"/>
    <mergeCell ref="H4:H5"/>
    <mergeCell ref="I4:I5"/>
    <mergeCell ref="J4:J5"/>
    <mergeCell ref="D2:F3"/>
    <mergeCell ref="G2:H3"/>
    <mergeCell ref="I2:I3"/>
    <mergeCell ref="J2:J3"/>
    <mergeCell ref="K2:K3"/>
  </mergeCells>
  <conditionalFormatting sqref="J6:N17">
    <cfRule type="cellIs" dxfId="2" priority="1" operator="greaterThan">
      <formula>0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F5902-9305-D041-B1CA-DFC2482A78F0}">
  <dimension ref="B1:N17"/>
  <sheetViews>
    <sheetView zoomScale="118" zoomScaleNormal="118" workbookViewId="0">
      <selection activeCell="G20" sqref="G20"/>
    </sheetView>
  </sheetViews>
  <sheetFormatPr baseColWidth="10" defaultRowHeight="16" x14ac:dyDescent="0.2"/>
  <cols>
    <col min="4" max="4" width="14" bestFit="1" customWidth="1"/>
    <col min="5" max="5" width="11.5" bestFit="1" customWidth="1"/>
    <col min="6" max="6" width="12.1640625" bestFit="1" customWidth="1"/>
    <col min="7" max="7" width="14" bestFit="1" customWidth="1"/>
    <col min="8" max="8" width="11.5" bestFit="1" customWidth="1"/>
    <col min="9" max="9" width="13.1640625" bestFit="1" customWidth="1"/>
    <col min="10" max="10" width="27.5" bestFit="1" customWidth="1"/>
    <col min="11" max="11" width="26.1640625" bestFit="1" customWidth="1"/>
    <col min="12" max="12" width="27.5" bestFit="1" customWidth="1"/>
    <col min="13" max="13" width="26.1640625" bestFit="1" customWidth="1"/>
    <col min="14" max="14" width="19.1640625" bestFit="1" customWidth="1"/>
  </cols>
  <sheetData>
    <row r="1" spans="2:14" x14ac:dyDescent="0.2">
      <c r="D1" s="1"/>
      <c r="I1" s="2"/>
      <c r="J1" s="2"/>
    </row>
    <row r="2" spans="2:14" x14ac:dyDescent="0.2">
      <c r="B2" s="3"/>
      <c r="D2" s="64" t="s">
        <v>0</v>
      </c>
      <c r="E2" s="56"/>
      <c r="F2" s="58"/>
      <c r="G2" s="56" t="s">
        <v>1</v>
      </c>
      <c r="H2" s="56"/>
      <c r="I2" s="60" t="s">
        <v>2</v>
      </c>
      <c r="J2" s="49" t="s">
        <v>3</v>
      </c>
      <c r="K2" s="49" t="s">
        <v>4</v>
      </c>
      <c r="L2" s="49" t="s">
        <v>5</v>
      </c>
      <c r="M2" s="52" t="s">
        <v>6</v>
      </c>
      <c r="N2" s="4" t="s">
        <v>7</v>
      </c>
    </row>
    <row r="3" spans="2:14" x14ac:dyDescent="0.2">
      <c r="B3" s="3"/>
      <c r="D3" s="65"/>
      <c r="E3" s="66"/>
      <c r="F3" s="67"/>
      <c r="G3" s="66"/>
      <c r="H3" s="66"/>
      <c r="I3" s="68"/>
      <c r="J3" s="51"/>
      <c r="K3" s="51"/>
      <c r="L3" s="51"/>
      <c r="M3" s="53"/>
      <c r="N3" s="5" t="s">
        <v>8</v>
      </c>
    </row>
    <row r="4" spans="2:14" x14ac:dyDescent="0.2">
      <c r="B4" s="6" t="s">
        <v>9</v>
      </c>
      <c r="C4" s="19" t="s">
        <v>10</v>
      </c>
      <c r="D4" s="55" t="s">
        <v>11</v>
      </c>
      <c r="E4" s="57" t="s">
        <v>12</v>
      </c>
      <c r="F4" s="59" t="s">
        <v>13</v>
      </c>
      <c r="G4" s="57" t="s">
        <v>14</v>
      </c>
      <c r="H4" s="57" t="s">
        <v>12</v>
      </c>
      <c r="I4" s="60" t="s">
        <v>15</v>
      </c>
      <c r="J4" s="62"/>
      <c r="K4" s="7"/>
      <c r="L4" s="7"/>
      <c r="M4" s="8"/>
      <c r="N4" s="7"/>
    </row>
    <row r="5" spans="2:14" x14ac:dyDescent="0.2">
      <c r="B5" s="9"/>
      <c r="C5" s="8"/>
      <c r="D5" s="55"/>
      <c r="E5" s="57"/>
      <c r="F5" s="59"/>
      <c r="G5" s="57"/>
      <c r="H5" s="57"/>
      <c r="I5" s="61"/>
      <c r="J5" s="63"/>
      <c r="K5" s="5"/>
      <c r="L5" s="5"/>
      <c r="M5" s="10"/>
      <c r="N5" s="7"/>
    </row>
    <row r="6" spans="2:14" x14ac:dyDescent="0.2">
      <c r="B6" s="49" t="s">
        <v>16</v>
      </c>
      <c r="C6" s="20" t="s">
        <v>17</v>
      </c>
      <c r="D6" s="19">
        <v>352352</v>
      </c>
      <c r="E6" s="20">
        <v>160911</v>
      </c>
      <c r="F6" s="21">
        <v>7144</v>
      </c>
      <c r="G6" s="20">
        <v>250927</v>
      </c>
      <c r="H6" s="20">
        <v>136749</v>
      </c>
      <c r="I6" s="4" t="s">
        <v>89</v>
      </c>
      <c r="J6" s="11">
        <f>(D8-D6)/D8</f>
        <v>3.9297642904857336E-2</v>
      </c>
      <c r="K6" s="11">
        <f t="shared" ref="K6" si="0">(E8-E6)/E8</f>
        <v>-0.20804054054054055</v>
      </c>
      <c r="L6" s="11">
        <f>(G8-G6)/G8</f>
        <v>3.7561368517950292E-2</v>
      </c>
      <c r="M6" s="11">
        <f>(H8-H6)/H8</f>
        <v>2.8440093213595544E-2</v>
      </c>
      <c r="N6" s="30">
        <f>(F6-F8)/F8</f>
        <v>4.3593398349587398</v>
      </c>
    </row>
    <row r="7" spans="2:14" x14ac:dyDescent="0.2">
      <c r="B7" s="50"/>
      <c r="C7" t="s">
        <v>18</v>
      </c>
      <c r="D7" s="8">
        <v>363465</v>
      </c>
      <c r="E7">
        <v>167616</v>
      </c>
      <c r="F7" s="18">
        <v>2239</v>
      </c>
      <c r="G7">
        <v>263197</v>
      </c>
      <c r="H7">
        <v>146930</v>
      </c>
      <c r="I7" s="7" t="s">
        <v>90</v>
      </c>
      <c r="J7" s="13">
        <f>(D8-D7)/D8</f>
        <v>8.9975870107562063E-3</v>
      </c>
      <c r="K7" s="13">
        <f t="shared" ref="K7" si="1">(E8-E7)/E8</f>
        <v>-0.2583783783783784</v>
      </c>
      <c r="L7" s="13">
        <f>(G8-G7)/G8</f>
        <v>-9.5006136851795032E-3</v>
      </c>
      <c r="M7" s="13">
        <f>(H8-H7)/H8</f>
        <v>-4.3892804365124473E-2</v>
      </c>
      <c r="N7" s="13">
        <f>(F7-F8)/F8</f>
        <v>0.67966991747936989</v>
      </c>
    </row>
    <row r="8" spans="2:14" x14ac:dyDescent="0.2">
      <c r="B8" s="50"/>
      <c r="C8" t="s">
        <v>21</v>
      </c>
      <c r="D8" s="8">
        <v>366765</v>
      </c>
      <c r="E8">
        <v>133200</v>
      </c>
      <c r="F8" s="18">
        <v>1333</v>
      </c>
      <c r="G8">
        <v>260720</v>
      </c>
      <c r="H8">
        <v>140752</v>
      </c>
      <c r="I8" s="7" t="s">
        <v>91</v>
      </c>
      <c r="J8" s="13">
        <f>(D8-D8)/D8</f>
        <v>0</v>
      </c>
      <c r="K8" s="13">
        <f t="shared" ref="K8" si="2">(E8-E8)/E8</f>
        <v>0</v>
      </c>
      <c r="L8" s="13">
        <f>(G8-G8)/G8</f>
        <v>0</v>
      </c>
      <c r="M8" s="13">
        <f>(H8-H8)/H8</f>
        <v>0</v>
      </c>
      <c r="N8" s="13">
        <f>(F8-F8)/F8</f>
        <v>0</v>
      </c>
    </row>
    <row r="9" spans="2:14" x14ac:dyDescent="0.2">
      <c r="B9" s="50"/>
      <c r="C9" t="s">
        <v>22</v>
      </c>
      <c r="D9" s="8">
        <v>338853</v>
      </c>
      <c r="E9">
        <v>105996</v>
      </c>
      <c r="F9" s="18">
        <v>13433</v>
      </c>
      <c r="G9">
        <v>248903</v>
      </c>
      <c r="H9">
        <v>140082</v>
      </c>
      <c r="I9" s="7" t="s">
        <v>92</v>
      </c>
      <c r="J9" s="15">
        <f>(D8-D9)/D8</f>
        <v>7.6103226861887044E-2</v>
      </c>
      <c r="K9" s="15">
        <f t="shared" ref="K9" si="3">(E8-E9)/E8</f>
        <v>0.20423423423423423</v>
      </c>
      <c r="L9" s="15">
        <f>(G8-G9)/G8</f>
        <v>4.5324486038662168E-2</v>
      </c>
      <c r="M9" s="15">
        <f>(H8-H9)/H8</f>
        <v>4.7601455041491421E-3</v>
      </c>
      <c r="N9" s="15">
        <f>(F8-F9)/F8</f>
        <v>-9.077269317329332</v>
      </c>
    </row>
    <row r="10" spans="2:14" x14ac:dyDescent="0.2">
      <c r="B10" s="49" t="s">
        <v>19</v>
      </c>
      <c r="C10" s="20" t="s">
        <v>17</v>
      </c>
      <c r="D10" s="19">
        <v>355439</v>
      </c>
      <c r="E10" s="20">
        <v>147380</v>
      </c>
      <c r="F10" s="21">
        <v>2517</v>
      </c>
      <c r="G10" s="20">
        <v>255895</v>
      </c>
      <c r="H10" s="20">
        <v>126717</v>
      </c>
      <c r="I10" s="4" t="s">
        <v>93</v>
      </c>
      <c r="J10" s="11">
        <f>(D12-D10)/D12</f>
        <v>1.6760811954699611E-2</v>
      </c>
      <c r="K10" s="11">
        <f t="shared" ref="K10" si="4">(E12-E10)/E12</f>
        <v>-0.24816856796835962</v>
      </c>
      <c r="L10" s="11">
        <f>(G12-G10)/G12</f>
        <v>1.2979248630718199E-2</v>
      </c>
      <c r="M10" s="11">
        <f>(H12-H10)/H12</f>
        <v>3.0140446213309861E-2</v>
      </c>
      <c r="N10" s="31">
        <f>(F10-F12)/F12</f>
        <v>0.9140684410646388</v>
      </c>
    </row>
    <row r="11" spans="2:14" x14ac:dyDescent="0.2">
      <c r="B11" s="50"/>
      <c r="C11" t="s">
        <v>18</v>
      </c>
      <c r="D11" s="8">
        <v>357424</v>
      </c>
      <c r="E11">
        <v>156809</v>
      </c>
      <c r="F11" s="18">
        <v>1630</v>
      </c>
      <c r="G11">
        <v>263443</v>
      </c>
      <c r="H11">
        <v>138286</v>
      </c>
      <c r="I11" s="7" t="s">
        <v>94</v>
      </c>
      <c r="J11" s="13">
        <f>(D12-D11)/D12</f>
        <v>1.1269771893620434E-2</v>
      </c>
      <c r="K11" s="13">
        <f t="shared" ref="K11" si="5">(E12-E11)/E12</f>
        <v>-0.32802323907280845</v>
      </c>
      <c r="L11" s="13">
        <f>(G12-G11)/G12</f>
        <v>-1.6134382473192935E-2</v>
      </c>
      <c r="M11" s="13">
        <f>(H12-H11)/H12</f>
        <v>-5.8405725000956719E-2</v>
      </c>
      <c r="N11" s="13">
        <f>(F11-F12)/F12</f>
        <v>0.23954372623574144</v>
      </c>
    </row>
    <row r="12" spans="2:14" x14ac:dyDescent="0.2">
      <c r="B12" s="50"/>
      <c r="C12" t="s">
        <v>21</v>
      </c>
      <c r="D12" s="8">
        <v>361498</v>
      </c>
      <c r="E12">
        <v>118077</v>
      </c>
      <c r="F12" s="18">
        <v>1315</v>
      </c>
      <c r="G12">
        <v>259260</v>
      </c>
      <c r="H12">
        <v>130655</v>
      </c>
      <c r="I12" s="7" t="s">
        <v>95</v>
      </c>
      <c r="J12" s="13">
        <f>(D12-D12)/D12</f>
        <v>0</v>
      </c>
      <c r="K12" s="13">
        <f t="shared" ref="K12" si="6">(E12-E12)/E12</f>
        <v>0</v>
      </c>
      <c r="L12" s="13">
        <f>(G12-G12)/G12</f>
        <v>0</v>
      </c>
      <c r="M12" s="13">
        <f>(H12-H12)/H12</f>
        <v>0</v>
      </c>
      <c r="N12" s="13">
        <f>(F12-F12)/F12</f>
        <v>0</v>
      </c>
    </row>
    <row r="13" spans="2:14" x14ac:dyDescent="0.2">
      <c r="B13" s="51"/>
      <c r="C13" s="22" t="s">
        <v>22</v>
      </c>
      <c r="D13" s="10">
        <v>341936</v>
      </c>
      <c r="E13" s="22">
        <v>98655</v>
      </c>
      <c r="F13" s="23">
        <v>8894</v>
      </c>
      <c r="G13" s="22">
        <v>252742</v>
      </c>
      <c r="H13" s="22">
        <v>131227</v>
      </c>
      <c r="I13" s="5" t="s">
        <v>96</v>
      </c>
      <c r="J13" s="15">
        <f>(D12-D13)/D12</f>
        <v>5.4113715705204457E-2</v>
      </c>
      <c r="K13" s="15">
        <f t="shared" ref="K13" si="7">(E12-E13)/E12</f>
        <v>0.16448588632841282</v>
      </c>
      <c r="L13" s="15">
        <f>(G12-G13)/G12</f>
        <v>2.5140785312041964E-2</v>
      </c>
      <c r="M13" s="15">
        <f>(H12-H13)/H12</f>
        <v>-4.3779419080785271E-3</v>
      </c>
      <c r="N13" s="15">
        <f>(F12-F13)/F12</f>
        <v>-5.7634980988593156</v>
      </c>
    </row>
    <row r="14" spans="2:14" x14ac:dyDescent="0.2">
      <c r="B14" s="50" t="s">
        <v>20</v>
      </c>
      <c r="C14" t="s">
        <v>17</v>
      </c>
      <c r="D14" s="19">
        <v>841337</v>
      </c>
      <c r="E14" s="20">
        <v>449872</v>
      </c>
      <c r="F14" s="21">
        <v>4651</v>
      </c>
      <c r="G14" s="20">
        <v>546551</v>
      </c>
      <c r="H14" s="21">
        <v>385496</v>
      </c>
      <c r="I14" s="4" t="s">
        <v>97</v>
      </c>
      <c r="J14" s="11">
        <f>(D16-D14)/D16</f>
        <v>8.8344509422314792E-3</v>
      </c>
      <c r="K14" s="11">
        <f t="shared" ref="K14" si="8">(E16-E14)/E16</f>
        <v>-0.21645877329843358</v>
      </c>
      <c r="L14" s="11">
        <f>(G16-G14)/G16</f>
        <v>6.8234763931340021E-3</v>
      </c>
      <c r="M14" s="11">
        <f>(H16-H14)/H16</f>
        <v>3.1402483454524441E-2</v>
      </c>
      <c r="N14" s="30">
        <f>(F14-F16)/F16</f>
        <v>9.9267312692034981E-2</v>
      </c>
    </row>
    <row r="15" spans="2:14" x14ac:dyDescent="0.2">
      <c r="B15" s="50"/>
      <c r="C15" t="s">
        <v>18</v>
      </c>
      <c r="D15" s="8">
        <v>814961</v>
      </c>
      <c r="E15">
        <v>495235</v>
      </c>
      <c r="F15" s="18">
        <v>4157</v>
      </c>
      <c r="G15">
        <v>546735</v>
      </c>
      <c r="H15" s="18">
        <v>411271</v>
      </c>
      <c r="I15" s="7" t="s">
        <v>98</v>
      </c>
      <c r="J15" s="13">
        <f>(D16-D15)/D16</f>
        <v>3.990759110122568E-2</v>
      </c>
      <c r="K15" s="13">
        <f t="shared" ref="K15" si="9">(E16-E15)/E16</f>
        <v>-0.33912081790920473</v>
      </c>
      <c r="L15" s="13">
        <f>(G16-G15)/G16</f>
        <v>6.4891169640163837E-3</v>
      </c>
      <c r="M15" s="13">
        <f>(H16-H15)/H16</f>
        <v>-3.3359799393960714E-2</v>
      </c>
      <c r="N15" s="13">
        <f>(F15-F16)/F16</f>
        <v>-1.7489955093358545E-2</v>
      </c>
    </row>
    <row r="16" spans="2:14" x14ac:dyDescent="0.2">
      <c r="B16" s="50"/>
      <c r="C16" t="s">
        <v>21</v>
      </c>
      <c r="D16" s="8">
        <v>848836</v>
      </c>
      <c r="E16">
        <v>369821</v>
      </c>
      <c r="F16" s="18">
        <v>4231</v>
      </c>
      <c r="G16">
        <v>550306</v>
      </c>
      <c r="H16" s="18">
        <v>397994</v>
      </c>
      <c r="I16" s="7" t="s">
        <v>99</v>
      </c>
      <c r="J16" s="13">
        <f>(D16-D16)/D16</f>
        <v>0</v>
      </c>
      <c r="K16" s="13">
        <f t="shared" ref="K16" si="10">(E16-E16)/E16</f>
        <v>0</v>
      </c>
      <c r="L16" s="13">
        <f>(G16-G16)/G16</f>
        <v>0</v>
      </c>
      <c r="M16" s="13">
        <f>(H16-H16)/H16</f>
        <v>0</v>
      </c>
      <c r="N16" s="13">
        <f>(F16-F16)/F16</f>
        <v>0</v>
      </c>
    </row>
    <row r="17" spans="2:14" x14ac:dyDescent="0.2">
      <c r="B17" s="51"/>
      <c r="C17" s="22" t="s">
        <v>22</v>
      </c>
      <c r="D17" s="41">
        <v>798835</v>
      </c>
      <c r="E17" s="44">
        <v>449872</v>
      </c>
      <c r="F17" s="42">
        <v>23673</v>
      </c>
      <c r="G17" s="44">
        <v>540414</v>
      </c>
      <c r="H17" s="42">
        <v>393926</v>
      </c>
      <c r="I17" s="48">
        <v>5.0096064814814812E-3</v>
      </c>
      <c r="J17" s="15">
        <f>(D16-D17)/D16</f>
        <v>5.8905371591214319E-2</v>
      </c>
      <c r="K17" s="15">
        <f t="shared" ref="K17" si="11">(E16-E17)/E16</f>
        <v>-0.21645877329843358</v>
      </c>
      <c r="L17" s="15">
        <f>(G16-G17)/G16</f>
        <v>1.7975453656692821E-2</v>
      </c>
      <c r="M17" s="15">
        <f>(H16-H17)/H16</f>
        <v>1.022125961697915E-2</v>
      </c>
      <c r="N17" s="15">
        <f>(F16-F17)/F16</f>
        <v>-4.5951311746631998</v>
      </c>
    </row>
  </sheetData>
  <mergeCells count="17">
    <mergeCell ref="L2:L3"/>
    <mergeCell ref="B6:B9"/>
    <mergeCell ref="B10:B13"/>
    <mergeCell ref="B14:B17"/>
    <mergeCell ref="M2:M3"/>
    <mergeCell ref="D4:D5"/>
    <mergeCell ref="E4:E5"/>
    <mergeCell ref="F4:F5"/>
    <mergeCell ref="G4:G5"/>
    <mergeCell ref="H4:H5"/>
    <mergeCell ref="I4:I5"/>
    <mergeCell ref="J4:J5"/>
    <mergeCell ref="D2:F3"/>
    <mergeCell ref="G2:H3"/>
    <mergeCell ref="I2:I3"/>
    <mergeCell ref="J2:J3"/>
    <mergeCell ref="K2:K3"/>
  </mergeCells>
  <conditionalFormatting sqref="J6:N17">
    <cfRule type="cellIs" dxfId="1" priority="1" operator="greaterThan">
      <formula>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0B539-9121-C64F-B00E-E20FFA0D7D09}">
  <dimension ref="B1:N17"/>
  <sheetViews>
    <sheetView tabSelected="1" zoomScale="120" zoomScaleNormal="120" workbookViewId="0">
      <selection activeCell="L37" sqref="L37"/>
    </sheetView>
  </sheetViews>
  <sheetFormatPr baseColWidth="10" defaultRowHeight="16" x14ac:dyDescent="0.2"/>
  <cols>
    <col min="4" max="4" width="14" bestFit="1" customWidth="1"/>
    <col min="5" max="5" width="11.5" bestFit="1" customWidth="1"/>
    <col min="6" max="6" width="12.1640625" bestFit="1" customWidth="1"/>
    <col min="7" max="7" width="14" bestFit="1" customWidth="1"/>
    <col min="8" max="8" width="11.5" bestFit="1" customWidth="1"/>
    <col min="9" max="9" width="13.1640625" bestFit="1" customWidth="1"/>
    <col min="10" max="10" width="27.5" bestFit="1" customWidth="1"/>
    <col min="11" max="11" width="26.1640625" bestFit="1" customWidth="1"/>
    <col min="12" max="12" width="27.5" bestFit="1" customWidth="1"/>
    <col min="13" max="13" width="26.1640625" bestFit="1" customWidth="1"/>
    <col min="14" max="14" width="19.1640625" bestFit="1" customWidth="1"/>
  </cols>
  <sheetData>
    <row r="1" spans="2:14" x14ac:dyDescent="0.2">
      <c r="D1" s="1"/>
      <c r="I1" s="2"/>
      <c r="J1" s="2"/>
    </row>
    <row r="2" spans="2:14" x14ac:dyDescent="0.2">
      <c r="B2" s="3"/>
      <c r="D2" s="64" t="s">
        <v>0</v>
      </c>
      <c r="E2" s="56"/>
      <c r="F2" s="56"/>
      <c r="G2" s="64" t="s">
        <v>1</v>
      </c>
      <c r="H2" s="58"/>
      <c r="I2" s="77" t="s">
        <v>2</v>
      </c>
      <c r="J2" s="49" t="s">
        <v>3</v>
      </c>
      <c r="K2" s="49" t="s">
        <v>4</v>
      </c>
      <c r="L2" s="49" t="s">
        <v>5</v>
      </c>
      <c r="M2" s="52" t="s">
        <v>6</v>
      </c>
      <c r="N2" s="4" t="s">
        <v>7</v>
      </c>
    </row>
    <row r="3" spans="2:14" x14ac:dyDescent="0.2">
      <c r="B3" s="3"/>
      <c r="D3" s="65"/>
      <c r="E3" s="66"/>
      <c r="F3" s="66"/>
      <c r="G3" s="65"/>
      <c r="H3" s="67"/>
      <c r="I3" s="79"/>
      <c r="J3" s="51"/>
      <c r="K3" s="51"/>
      <c r="L3" s="51"/>
      <c r="M3" s="53"/>
      <c r="N3" s="5" t="s">
        <v>8</v>
      </c>
    </row>
    <row r="4" spans="2:14" x14ac:dyDescent="0.2">
      <c r="B4" s="6" t="s">
        <v>9</v>
      </c>
      <c r="C4" s="4" t="s">
        <v>10</v>
      </c>
      <c r="D4" s="75" t="s">
        <v>11</v>
      </c>
      <c r="E4" s="57" t="s">
        <v>12</v>
      </c>
      <c r="F4" s="57" t="s">
        <v>13</v>
      </c>
      <c r="G4" s="76" t="s">
        <v>14</v>
      </c>
      <c r="H4" s="59" t="s">
        <v>12</v>
      </c>
      <c r="I4" s="77" t="s">
        <v>15</v>
      </c>
      <c r="J4" s="62"/>
      <c r="K4" s="7"/>
      <c r="L4" s="7"/>
      <c r="M4" s="8"/>
      <c r="N4" s="7"/>
    </row>
    <row r="5" spans="2:14" x14ac:dyDescent="0.2">
      <c r="B5" s="9"/>
      <c r="C5" s="7"/>
      <c r="D5" s="75"/>
      <c r="E5" s="57"/>
      <c r="F5" s="57"/>
      <c r="G5" s="76"/>
      <c r="H5" s="59"/>
      <c r="I5" s="78"/>
      <c r="J5" s="63"/>
      <c r="K5" s="5"/>
      <c r="L5" s="5"/>
      <c r="M5" s="10"/>
      <c r="N5" s="7"/>
    </row>
    <row r="6" spans="2:14" x14ac:dyDescent="0.2">
      <c r="B6" s="49" t="s">
        <v>16</v>
      </c>
      <c r="C6" s="4" t="s">
        <v>17</v>
      </c>
      <c r="D6" s="20">
        <v>352352</v>
      </c>
      <c r="E6" s="20">
        <v>160911</v>
      </c>
      <c r="F6" s="20">
        <v>8716</v>
      </c>
      <c r="G6" s="19">
        <v>250927</v>
      </c>
      <c r="H6" s="21">
        <v>136749</v>
      </c>
      <c r="I6" s="21" t="s">
        <v>112</v>
      </c>
      <c r="J6" s="11">
        <f>(D8-D6)/D8</f>
        <v>3.9297642904857336E-2</v>
      </c>
      <c r="K6" s="11">
        <f t="shared" ref="K6" si="0">(E8-E6)/E8</f>
        <v>-0.20804054054054055</v>
      </c>
      <c r="L6" s="11">
        <f>(G8-G6)/G8</f>
        <v>3.7561368517950292E-2</v>
      </c>
      <c r="M6" s="11">
        <f>(H8-H6)/H8</f>
        <v>2.8440093213595544E-2</v>
      </c>
      <c r="N6" s="30">
        <f>(F6-F8)/F8</f>
        <v>7.0257826887661139</v>
      </c>
    </row>
    <row r="7" spans="2:14" x14ac:dyDescent="0.2">
      <c r="B7" s="50"/>
      <c r="C7" s="7" t="s">
        <v>18</v>
      </c>
      <c r="D7">
        <v>363465</v>
      </c>
      <c r="E7">
        <v>167616</v>
      </c>
      <c r="F7">
        <v>2350</v>
      </c>
      <c r="G7" s="8">
        <v>263197</v>
      </c>
      <c r="H7" s="18">
        <v>146930</v>
      </c>
      <c r="I7" s="18" t="s">
        <v>113</v>
      </c>
      <c r="J7" s="13">
        <f>(D8-D7)/D8</f>
        <v>8.9975870107562063E-3</v>
      </c>
      <c r="K7" s="13">
        <f t="shared" ref="K7" si="1">(E8-E7)/E8</f>
        <v>-0.2583783783783784</v>
      </c>
      <c r="L7" s="13">
        <f>(G8-G7)/G8</f>
        <v>-9.5006136851795032E-3</v>
      </c>
      <c r="M7" s="13">
        <f>(H8-H7)/H8</f>
        <v>-4.3892804365124473E-2</v>
      </c>
      <c r="N7" s="13">
        <f>(F7-F8)/F8</f>
        <v>1.1639042357274401</v>
      </c>
    </row>
    <row r="8" spans="2:14" x14ac:dyDescent="0.2">
      <c r="B8" s="50"/>
      <c r="C8" s="7" t="s">
        <v>21</v>
      </c>
      <c r="D8">
        <v>366765</v>
      </c>
      <c r="E8">
        <v>133200</v>
      </c>
      <c r="F8">
        <v>1086</v>
      </c>
      <c r="G8" s="8">
        <v>260720</v>
      </c>
      <c r="H8" s="18">
        <v>140752</v>
      </c>
      <c r="I8" s="18" t="s">
        <v>114</v>
      </c>
      <c r="J8" s="13">
        <f>(D8-D8)/D8</f>
        <v>0</v>
      </c>
      <c r="K8" s="13">
        <f t="shared" ref="K8" si="2">(E8-E8)/E8</f>
        <v>0</v>
      </c>
      <c r="L8" s="13">
        <f>(G8-G8)/G8</f>
        <v>0</v>
      </c>
      <c r="M8" s="13">
        <f>(H8-H8)/H8</f>
        <v>0</v>
      </c>
      <c r="N8" s="13">
        <f>(F8-F8)/F8</f>
        <v>0</v>
      </c>
    </row>
    <row r="9" spans="2:14" x14ac:dyDescent="0.2">
      <c r="B9" s="51"/>
      <c r="C9" s="7" t="s">
        <v>22</v>
      </c>
      <c r="D9">
        <v>337570</v>
      </c>
      <c r="E9">
        <v>97278</v>
      </c>
      <c r="F9">
        <v>17415</v>
      </c>
      <c r="G9" s="8">
        <v>249686</v>
      </c>
      <c r="H9" s="18">
        <v>138969</v>
      </c>
      <c r="I9" s="18" t="s">
        <v>115</v>
      </c>
      <c r="J9" s="15">
        <f>(D8-D9)/D8</f>
        <v>7.9601379630008309E-2</v>
      </c>
      <c r="K9" s="15">
        <f t="shared" ref="K9" si="3">(E8-E9)/E8</f>
        <v>0.26968468468468471</v>
      </c>
      <c r="L9" s="15">
        <f>(G8-G9)/G8</f>
        <v>4.2321264191469775E-2</v>
      </c>
      <c r="M9" s="15">
        <f>(H8-H9)/H8</f>
        <v>1.2667670796862566E-2</v>
      </c>
      <c r="N9" s="15">
        <f>(F8-F9)/F8</f>
        <v>-15.035911602209945</v>
      </c>
    </row>
    <row r="10" spans="2:14" x14ac:dyDescent="0.2">
      <c r="B10" s="49" t="s">
        <v>19</v>
      </c>
      <c r="C10" s="4" t="s">
        <v>17</v>
      </c>
      <c r="D10" s="20">
        <v>355439</v>
      </c>
      <c r="E10" s="20">
        <v>147380</v>
      </c>
      <c r="F10" s="20">
        <v>2579</v>
      </c>
      <c r="G10" s="19">
        <v>255895</v>
      </c>
      <c r="H10" s="21">
        <v>126717</v>
      </c>
      <c r="I10" s="21" t="s">
        <v>116</v>
      </c>
      <c r="J10" s="11">
        <f>(D12-D10)/D12</f>
        <v>1.6760811954699611E-2</v>
      </c>
      <c r="K10" s="11">
        <f t="shared" ref="K10" si="4">(E12-E10)/E12</f>
        <v>-0.24816856796835962</v>
      </c>
      <c r="L10" s="11">
        <f>(G12-G10)/G12</f>
        <v>1.2979248630718199E-2</v>
      </c>
      <c r="M10" s="11">
        <f>(H12-H10)/H12</f>
        <v>3.0140446213309861E-2</v>
      </c>
      <c r="N10" s="31">
        <f>(F10-F12)/F12</f>
        <v>0.74610697359512523</v>
      </c>
    </row>
    <row r="11" spans="2:14" x14ac:dyDescent="0.2">
      <c r="B11" s="50"/>
      <c r="C11" s="7" t="s">
        <v>18</v>
      </c>
      <c r="D11">
        <v>357424</v>
      </c>
      <c r="E11">
        <v>156809</v>
      </c>
      <c r="F11">
        <v>2152</v>
      </c>
      <c r="G11" s="8">
        <v>263443</v>
      </c>
      <c r="H11" s="18">
        <v>138286</v>
      </c>
      <c r="I11" s="18" t="s">
        <v>117</v>
      </c>
      <c r="J11" s="13">
        <f>(D12-D11)/D12</f>
        <v>1.1269771893620434E-2</v>
      </c>
      <c r="K11" s="13">
        <f t="shared" ref="K11" si="5">(E12-E11)/E12</f>
        <v>-0.32802323907280845</v>
      </c>
      <c r="L11" s="13">
        <f>(G12-G11)/G12</f>
        <v>-1.6134382473192935E-2</v>
      </c>
      <c r="M11" s="13">
        <f>(H12-H11)/H12</f>
        <v>-5.8405725000956719E-2</v>
      </c>
      <c r="N11" s="13">
        <f>(F11-F12)/F12</f>
        <v>0.45700744752877454</v>
      </c>
    </row>
    <row r="12" spans="2:14" x14ac:dyDescent="0.2">
      <c r="B12" s="50"/>
      <c r="C12" s="7" t="s">
        <v>21</v>
      </c>
      <c r="D12">
        <v>361498</v>
      </c>
      <c r="E12">
        <v>118077</v>
      </c>
      <c r="F12">
        <v>1477</v>
      </c>
      <c r="G12" s="8">
        <v>259260</v>
      </c>
      <c r="H12" s="18">
        <v>130655</v>
      </c>
      <c r="I12" s="18" t="s">
        <v>118</v>
      </c>
      <c r="J12" s="13">
        <f>(D12-D12)/D12</f>
        <v>0</v>
      </c>
      <c r="K12" s="13">
        <f t="shared" ref="K12" si="6">(E12-E12)/E12</f>
        <v>0</v>
      </c>
      <c r="L12" s="13">
        <f>(G12-G12)/G12</f>
        <v>0</v>
      </c>
      <c r="M12" s="13">
        <f>(H12-H12)/H12</f>
        <v>0</v>
      </c>
      <c r="N12" s="13">
        <f>(F12-F12)/F12</f>
        <v>0</v>
      </c>
    </row>
    <row r="13" spans="2:14" x14ac:dyDescent="0.2">
      <c r="B13" s="51"/>
      <c r="C13" s="5" t="s">
        <v>22</v>
      </c>
      <c r="D13" s="22">
        <v>341439</v>
      </c>
      <c r="E13" s="22">
        <v>92882</v>
      </c>
      <c r="F13" s="22">
        <v>13778</v>
      </c>
      <c r="G13" s="10">
        <v>253686</v>
      </c>
      <c r="H13" s="23">
        <v>131271</v>
      </c>
      <c r="I13" s="23" t="s">
        <v>119</v>
      </c>
      <c r="J13" s="15">
        <f>(D12-D13)/D12</f>
        <v>5.5488550420749218E-2</v>
      </c>
      <c r="K13" s="15">
        <f t="shared" ref="K13" si="7">(E12-E13)/E12</f>
        <v>0.21337771115458556</v>
      </c>
      <c r="L13" s="15">
        <f>(G12-G13)/G12</f>
        <v>2.1499652858134689E-2</v>
      </c>
      <c r="M13" s="15">
        <f>(H12-H13)/H12</f>
        <v>-4.7147066702384142E-3</v>
      </c>
      <c r="N13" s="15">
        <f>(F12-F13)/F12</f>
        <v>-8.3283683141503051</v>
      </c>
    </row>
    <row r="14" spans="2:14" x14ac:dyDescent="0.2">
      <c r="B14" s="49" t="s">
        <v>20</v>
      </c>
      <c r="C14" s="7" t="s">
        <v>17</v>
      </c>
      <c r="D14" s="19">
        <v>841337</v>
      </c>
      <c r="E14" s="20">
        <v>449872</v>
      </c>
      <c r="F14" s="20">
        <v>5763</v>
      </c>
      <c r="G14" s="19">
        <v>546551</v>
      </c>
      <c r="H14" s="21">
        <v>385496</v>
      </c>
      <c r="I14" s="21" t="s">
        <v>120</v>
      </c>
      <c r="J14" s="11">
        <f>(D16-D14)/D16</f>
        <v>8.8344509422314792E-3</v>
      </c>
      <c r="K14" s="11">
        <f t="shared" ref="K14" si="8">(E16-E14)/E16</f>
        <v>-0.21645877329843358</v>
      </c>
      <c r="L14" s="11">
        <f>(G16-G14)/G16</f>
        <v>6.8234763931340021E-3</v>
      </c>
      <c r="M14" s="11">
        <f>(H16-H14)/H16</f>
        <v>3.1402483454524441E-2</v>
      </c>
      <c r="N14" s="30">
        <f>(F14-F16)/F16</f>
        <v>5.6268328445747799E-2</v>
      </c>
    </row>
    <row r="15" spans="2:14" x14ac:dyDescent="0.2">
      <c r="B15" s="50"/>
      <c r="C15" s="7" t="s">
        <v>18</v>
      </c>
      <c r="D15" s="8">
        <v>814961</v>
      </c>
      <c r="E15">
        <v>495235</v>
      </c>
      <c r="F15">
        <v>4971</v>
      </c>
      <c r="G15" s="8">
        <v>546735</v>
      </c>
      <c r="H15" s="18">
        <v>411271</v>
      </c>
      <c r="I15" s="18" t="s">
        <v>121</v>
      </c>
      <c r="J15" s="13">
        <f>(D16-D15)/D16</f>
        <v>3.990759110122568E-2</v>
      </c>
      <c r="K15" s="13">
        <f t="shared" ref="K15" si="9">(E16-E15)/E16</f>
        <v>-0.33912081790920473</v>
      </c>
      <c r="L15" s="13">
        <f>(G16-G15)/G16</f>
        <v>6.4891169640163837E-3</v>
      </c>
      <c r="M15" s="13">
        <f>(H16-H15)/H16</f>
        <v>-3.3359799393960714E-2</v>
      </c>
      <c r="N15" s="13">
        <f>(F15-F16)/F16</f>
        <v>-8.8892961876832849E-2</v>
      </c>
    </row>
    <row r="16" spans="2:14" x14ac:dyDescent="0.2">
      <c r="B16" s="50"/>
      <c r="C16" s="7" t="s">
        <v>21</v>
      </c>
      <c r="D16" s="8">
        <v>848836</v>
      </c>
      <c r="E16">
        <v>369821</v>
      </c>
      <c r="F16">
        <v>5456</v>
      </c>
      <c r="G16" s="8">
        <v>550306</v>
      </c>
      <c r="H16" s="18">
        <v>397994</v>
      </c>
      <c r="I16" s="18" t="s">
        <v>122</v>
      </c>
      <c r="J16" s="13">
        <f>(D16-D16)/D16</f>
        <v>0</v>
      </c>
      <c r="K16" s="13">
        <f t="shared" ref="K16" si="10">(E16-E16)/E16</f>
        <v>0</v>
      </c>
      <c r="L16" s="13">
        <f>(G16-G16)/G16</f>
        <v>0</v>
      </c>
      <c r="M16" s="13">
        <f>(H16-H16)/H16</f>
        <v>0</v>
      </c>
      <c r="N16" s="13">
        <f>(F16-F16)/F16</f>
        <v>0</v>
      </c>
    </row>
    <row r="17" spans="2:14" x14ac:dyDescent="0.2">
      <c r="B17" s="51"/>
      <c r="C17" s="5" t="s">
        <v>22</v>
      </c>
      <c r="D17" s="41">
        <v>797315</v>
      </c>
      <c r="E17" s="44">
        <v>449872</v>
      </c>
      <c r="F17" s="44">
        <v>36931</v>
      </c>
      <c r="G17" s="41">
        <v>541222</v>
      </c>
      <c r="H17" s="42">
        <v>392593</v>
      </c>
      <c r="I17" s="46">
        <v>5.2725694444444443E-3</v>
      </c>
      <c r="J17" s="15">
        <f>(D16-D17)/D16</f>
        <v>6.0696059073837585E-2</v>
      </c>
      <c r="K17" s="15">
        <f t="shared" ref="K17" si="11">(E16-E17)/E16</f>
        <v>-0.21645877329843358</v>
      </c>
      <c r="L17" s="15">
        <f>(G16-G17)/G16</f>
        <v>1.6507179641871976E-2</v>
      </c>
      <c r="M17" s="15">
        <f>(H16-H17)/H16</f>
        <v>1.3570556340045328E-2</v>
      </c>
      <c r="N17" s="15">
        <f>(F16-F17)/F16</f>
        <v>-5.7688782991202343</v>
      </c>
    </row>
  </sheetData>
  <mergeCells count="17">
    <mergeCell ref="L2:L3"/>
    <mergeCell ref="B6:B9"/>
    <mergeCell ref="B10:B13"/>
    <mergeCell ref="B14:B17"/>
    <mergeCell ref="M2:M3"/>
    <mergeCell ref="D4:D5"/>
    <mergeCell ref="E4:E5"/>
    <mergeCell ref="F4:F5"/>
    <mergeCell ref="G4:G5"/>
    <mergeCell ref="H4:H5"/>
    <mergeCell ref="I4:I5"/>
    <mergeCell ref="J4:J5"/>
    <mergeCell ref="D2:F3"/>
    <mergeCell ref="G2:H3"/>
    <mergeCell ref="I2:I3"/>
    <mergeCell ref="J2:J3"/>
    <mergeCell ref="K2:K3"/>
  </mergeCells>
  <conditionalFormatting sqref="J6:N17">
    <cfRule type="cellIs" dxfId="0" priority="1" operator="greater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fr_aes</vt:lpstr>
      <vt:lpstr>fr_ibex</vt:lpstr>
      <vt:lpstr>fr_jpeg</vt:lpstr>
      <vt:lpstr>cugr_aes</vt:lpstr>
      <vt:lpstr>cugr_ibex</vt:lpstr>
      <vt:lpstr>cugr_jpeg</vt:lpstr>
      <vt:lpstr>spr_aes</vt:lpstr>
      <vt:lpstr>spr_ibex</vt:lpstr>
      <vt:lpstr>spr_jpeg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Taizun Jafri (Student)</dc:creator>
  <cp:lastModifiedBy>Taizun Jafri</cp:lastModifiedBy>
  <dcterms:created xsi:type="dcterms:W3CDTF">2026-03-04T23:31:37Z</dcterms:created>
  <dcterms:modified xsi:type="dcterms:W3CDTF">2026-06-15T17:33:32Z</dcterms:modified>
</cp:coreProperties>
</file>